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autoCompressPictures="0"/>
  <mc:AlternateContent xmlns:mc="http://schemas.openxmlformats.org/markup-compatibility/2006">
    <mc:Choice Requires="x15">
      <x15ac:absPath xmlns:x15ac="http://schemas.microsoft.com/office/spreadsheetml/2010/11/ac" url="https://epam-my.sharepoint.com/personal/kody_mcdowell_firstderivative_com/Documents/"/>
    </mc:Choice>
  </mc:AlternateContent>
  <xr:revisionPtr revIDLastSave="109" documentId="8_{48D0AEA6-B15C-427B-BE54-92C29A925CA7}" xr6:coauthVersionLast="47" xr6:coauthVersionMax="47" xr10:uidLastSave="{692AE70B-4879-4F00-BBE2-B46C0D680330}"/>
  <bookViews>
    <workbookView xWindow="28680" yWindow="-120" windowWidth="29040" windowHeight="15720" tabRatio="863" xr2:uid="{00000000-000D-0000-FFFF-FFFF00000000}"/>
  </bookViews>
  <sheets>
    <sheet name="KYC Fin Crime Automation" sheetId="25" r:id="rId1"/>
    <sheet name="Gantt Chart" sheetId="26" r:id="rId2"/>
    <sheet name="Individual Timesheet - Person 1" sheetId="27" r:id="rId3"/>
    <sheet name="Individual Timesheet - Person 2" sheetId="28" r:id="rId4"/>
    <sheet name="Individual Timesheet - Person 3" sheetId="2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8" l="1"/>
  <c r="B20" i="28"/>
  <c r="B21" i="28"/>
  <c r="B22" i="28"/>
  <c r="B23" i="28"/>
  <c r="B24" i="28"/>
  <c r="B25" i="28"/>
  <c r="B27" i="28"/>
  <c r="B28" i="28"/>
  <c r="B29" i="28"/>
  <c r="B30" i="28"/>
  <c r="B31" i="28"/>
  <c r="B32" i="28"/>
  <c r="B33" i="28"/>
  <c r="B34" i="28"/>
  <c r="B35" i="28"/>
  <c r="B36" i="28"/>
  <c r="B37" i="28"/>
  <c r="B38" i="28"/>
  <c r="B39" i="28"/>
  <c r="B40" i="28"/>
  <c r="B41" i="28"/>
  <c r="B42" i="28"/>
  <c r="B43" i="28"/>
  <c r="B44" i="28"/>
  <c r="B45" i="28"/>
  <c r="B46" i="28"/>
  <c r="B47" i="28"/>
  <c r="D49" i="28"/>
  <c r="B16" i="29"/>
  <c r="B25" i="27"/>
  <c r="B26" i="27"/>
  <c r="B27" i="27"/>
  <c r="D50" i="29"/>
  <c r="B48" i="29"/>
  <c r="B47" i="29"/>
  <c r="B46" i="29"/>
  <c r="B45" i="29"/>
  <c r="B44" i="29"/>
  <c r="B43" i="29"/>
  <c r="B42" i="29"/>
  <c r="B41" i="29"/>
  <c r="B40" i="29"/>
  <c r="B39" i="29"/>
  <c r="B38" i="29"/>
  <c r="B37" i="29"/>
  <c r="B36" i="29"/>
  <c r="B35" i="29"/>
  <c r="B34" i="29"/>
  <c r="B33" i="29"/>
  <c r="B32" i="29"/>
  <c r="B31" i="29"/>
  <c r="B30" i="29"/>
  <c r="B29" i="29"/>
  <c r="B28" i="29"/>
  <c r="B26" i="29"/>
  <c r="B25" i="29"/>
  <c r="B24" i="29"/>
  <c r="B23" i="29"/>
  <c r="B22" i="29"/>
  <c r="B21" i="29"/>
  <c r="B20" i="29"/>
  <c r="B18" i="29"/>
  <c r="B17" i="29"/>
  <c r="D62" i="27"/>
  <c r="B60" i="27"/>
  <c r="B59" i="27"/>
  <c r="B58" i="27"/>
  <c r="B57" i="27"/>
  <c r="B56" i="27"/>
  <c r="B55" i="27"/>
  <c r="B54" i="27"/>
  <c r="B53" i="27"/>
  <c r="B52" i="27"/>
  <c r="B51" i="27"/>
  <c r="B50" i="27"/>
  <c r="B49" i="27"/>
  <c r="B48" i="27"/>
  <c r="B47" i="27"/>
  <c r="B46" i="27"/>
  <c r="B45" i="27"/>
  <c r="B44" i="27"/>
  <c r="B43" i="27"/>
  <c r="B42" i="27"/>
  <c r="B41" i="27"/>
  <c r="B40" i="27"/>
  <c r="B38" i="27"/>
  <c r="B37" i="27"/>
  <c r="B36" i="27"/>
  <c r="B35" i="27"/>
  <c r="B34" i="27"/>
  <c r="B33" i="27"/>
  <c r="B30" i="27"/>
  <c r="B29" i="27"/>
  <c r="B28" i="27"/>
</calcChain>
</file>

<file path=xl/sharedStrings.xml><?xml version="1.0" encoding="utf-8"?>
<sst xmlns="http://schemas.openxmlformats.org/spreadsheetml/2006/main" count="288" uniqueCount="145">
  <si>
    <t>Project 1. Google Agentic AI - KYC</t>
  </si>
  <si>
    <t>Start Date for YearX is 01/09/25</t>
  </si>
  <si>
    <t xml:space="preserve">Workstream Lead: </t>
  </si>
  <si>
    <t xml:space="preserve">Management Lead: </t>
  </si>
  <si>
    <t>Developers</t>
  </si>
  <si>
    <t>Project Team Members</t>
  </si>
  <si>
    <t>Client Onboarding AI Agent</t>
  </si>
  <si>
    <t>N/A</t>
  </si>
  <si>
    <t>X</t>
  </si>
  <si>
    <t>1.1 Client Onboarding AI Agent</t>
  </si>
  <si>
    <t>ID</t>
  </si>
  <si>
    <t>Deliverable Name</t>
  </si>
  <si>
    <t>Deliverable Description
(2 lines)</t>
  </si>
  <si>
    <t>Project Description</t>
  </si>
  <si>
    <t>Project Delivery Owner</t>
  </si>
  <si>
    <t>Deliverable Due Date</t>
  </si>
  <si>
    <t xml:space="preserve">Deliverable Document Name </t>
  </si>
  <si>
    <t>Technological Uncertainties</t>
  </si>
  <si>
    <t xml:space="preserve">1.1.1 </t>
  </si>
  <si>
    <t>Policy Interpretation Agent</t>
  </si>
  <si>
    <t xml:space="preserve">Create and train an AI agent which can digest policy as code and produce a list of KYC requirements based on entity type, jurisdiction, risk rating etc. </t>
  </si>
  <si>
    <t>The company is focused on advancing agentic AI capabilities to drive automation across the KYC lifecycle. This PoC is being developed to showcase the tangible potential of agentic systems in streamlining and enhancing KYC processes. It will serve as a strategic accelerator, demonstrating the value we can deliver and reinforcing our broader services offering in this rapidly evolving space.</t>
  </si>
  <si>
    <t>None at this time</t>
  </si>
  <si>
    <t>1.1.2</t>
  </si>
  <si>
    <t>Data &amp; Document Collection Agent</t>
  </si>
  <si>
    <t xml:space="preserve">Create and train an AI agent which is capable of extracting company data from 3rd party sources, cleansing, and validating that data and the transferring it to a KYC onboarding tool for storage. </t>
  </si>
  <si>
    <t>1.1.3</t>
  </si>
  <si>
    <t>Screening Agent</t>
  </si>
  <si>
    <t>Create and train an AI agent which pulls data from a 3rd party screening provider such as Worldcheck and conducts reviews of the data to discount false positive, flag genuine matches and makes recommendations for next steps.</t>
  </si>
  <si>
    <t>1.1.4</t>
  </si>
  <si>
    <t>Risk Assessment Agent</t>
  </si>
  <si>
    <t xml:space="preserve">Create and train an AI agent which can make a determination of a customers overall risk based on the data points and risk factors captured by the previous screening and data collection agents. </t>
  </si>
  <si>
    <t>1.1.5</t>
  </si>
  <si>
    <t>Profile Completion Agent</t>
  </si>
  <si>
    <t xml:space="preserve">Train an AI agent to product an overall PDF/word  KYC report of all of the data collected and findings throughout the case. </t>
  </si>
  <si>
    <t>1.1.6</t>
  </si>
  <si>
    <t>Agent Interface</t>
  </si>
  <si>
    <t>Create an interface which can be used to demonstrate the agentic workflow, flag case for human review and input/store collected customer KYC data. Intention at present to use SalesForce.</t>
  </si>
  <si>
    <t>1.1.7</t>
  </si>
  <si>
    <r>
      <rPr>
        <b/>
        <u/>
        <sz val="11"/>
        <color rgb="FF000000"/>
        <rFont val="Century Gothic"/>
      </rPr>
      <t>1.2</t>
    </r>
    <r>
      <rPr>
        <b/>
        <i/>
        <u/>
        <sz val="11"/>
        <color rgb="FF000000"/>
        <rFont val="Century Gothic"/>
      </rPr>
      <t xml:space="preserve"> Intelligent Document Processing &amp; Customer Outreach Tool</t>
    </r>
  </si>
  <si>
    <t>1.2.1</t>
  </si>
  <si>
    <t>Workflow Mapping</t>
  </si>
  <si>
    <t xml:space="preserve">Mapping the end to end workflow of the solution in miro </t>
  </si>
  <si>
    <t xml:space="preserve">Working with EPAM developers to create an intelligent document processing tool and automated customer outreach solution which is capable of processing documents, validating completness and accuracy, extracting and validating the data. The customer outreach tool is an automated solution that handles automated emails, chasers to non-responders and communicates any errors to the customer. </t>
  </si>
  <si>
    <t>1.2.2</t>
  </si>
  <si>
    <t>Customer Outreach UI in Flowable</t>
  </si>
  <si>
    <t>Creating a user interface for the solution</t>
  </si>
  <si>
    <t>1.2.3</t>
  </si>
  <si>
    <t>Intelligent Document Processing in DEPS</t>
  </si>
  <si>
    <t>Creating intelligent document processing capability via DEPs</t>
  </si>
  <si>
    <t>1.2.4</t>
  </si>
  <si>
    <t>MI Dashboard</t>
  </si>
  <si>
    <t>Producing a power-bi dashboard to sit over the top of the solution</t>
  </si>
  <si>
    <t>1.2.5</t>
  </si>
  <si>
    <t>ID&amp;V KYC Solution</t>
  </si>
  <si>
    <r>
      <rPr>
        <b/>
        <u/>
        <sz val="11"/>
        <color rgb="FF000000"/>
        <rFont val="Century Gothic"/>
      </rPr>
      <t xml:space="preserve">1.3 </t>
    </r>
    <r>
      <rPr>
        <b/>
        <i/>
        <u/>
        <sz val="11"/>
        <color rgb="FF000000"/>
        <rFont val="Century Gothic"/>
      </rPr>
      <t>Project Name</t>
    </r>
  </si>
  <si>
    <t>1.3.1</t>
  </si>
  <si>
    <t>1.3.2</t>
  </si>
  <si>
    <t>1.3.3</t>
  </si>
  <si>
    <t>1.3.4</t>
  </si>
  <si>
    <r>
      <t xml:space="preserve">1.4 </t>
    </r>
    <r>
      <rPr>
        <b/>
        <i/>
        <u/>
        <sz val="11"/>
        <rFont val="Century Gothic"/>
        <family val="2"/>
      </rPr>
      <t>Project Name</t>
    </r>
  </si>
  <si>
    <t>1.4.1</t>
  </si>
  <si>
    <t>1.4.2</t>
  </si>
  <si>
    <t>1.4.3</t>
  </si>
  <si>
    <t>1.4.4</t>
  </si>
  <si>
    <t>Project</t>
  </si>
  <si>
    <t>Deliverable</t>
  </si>
  <si>
    <t>Target Start Date</t>
  </si>
  <si>
    <t>Target End Date</t>
  </si>
  <si>
    <t>Status</t>
  </si>
  <si>
    <t>% Complete</t>
  </si>
  <si>
    <t>Owner</t>
  </si>
  <si>
    <t>Y1 Month 1</t>
  </si>
  <si>
    <t>Y1 Month 2</t>
  </si>
  <si>
    <t>Y1 Month 3</t>
  </si>
  <si>
    <t>Y1 Month 4</t>
  </si>
  <si>
    <t>Y1 Month 5</t>
  </si>
  <si>
    <t>Y1 Month 6</t>
  </si>
  <si>
    <t>Y1 Month 7</t>
  </si>
  <si>
    <t>Y1 Month 8</t>
  </si>
  <si>
    <t>Y1 Month 9</t>
  </si>
  <si>
    <t>Y1 Month 10</t>
  </si>
  <si>
    <t>Y1 Month 11</t>
  </si>
  <si>
    <t>Y1 Month 12</t>
  </si>
  <si>
    <t>In Progress</t>
  </si>
  <si>
    <t>Year</t>
  </si>
  <si>
    <t>Month(s)</t>
  </si>
  <si>
    <t>March, April, May &amp; June</t>
  </si>
  <si>
    <t>Office Location e.g. Newry</t>
  </si>
  <si>
    <t>Newry</t>
  </si>
  <si>
    <t>added by FD</t>
  </si>
  <si>
    <t xml:space="preserve">Payroll Location e.g. UK  </t>
  </si>
  <si>
    <t>UK</t>
  </si>
  <si>
    <t>Employee ID</t>
  </si>
  <si>
    <t>Employee Name</t>
  </si>
  <si>
    <t>Supervisor Name</t>
  </si>
  <si>
    <t>Job Role</t>
  </si>
  <si>
    <t>Principal Consultant</t>
  </si>
  <si>
    <t>Project Code</t>
  </si>
  <si>
    <t>Day of Week</t>
  </si>
  <si>
    <t>DATE</t>
  </si>
  <si>
    <t xml:space="preserve">Project/Training  hours </t>
  </si>
  <si>
    <t>Activity Undertaken (link to Deliverable name &amp; no.)</t>
  </si>
  <si>
    <t>Mon</t>
  </si>
  <si>
    <r>
      <rPr>
        <sz val="11"/>
        <color rgb="FF000000"/>
        <rFont val="Calibri"/>
        <scheme val="minor"/>
      </rPr>
      <t xml:space="preserve">User stories &amp; business requirements for customer outreach </t>
    </r>
    <r>
      <rPr>
        <b/>
        <sz val="11"/>
        <color rgb="FF000000"/>
        <rFont val="Calibri"/>
        <scheme val="minor"/>
      </rPr>
      <t>(1.2.2, Customer Outreach UI in Flowable)</t>
    </r>
  </si>
  <si>
    <t>Tue</t>
  </si>
  <si>
    <r>
      <rPr>
        <sz val="11"/>
        <color rgb="FF000000"/>
        <rFont val="Calibri"/>
        <scheme val="minor"/>
      </rPr>
      <t>User stories &amp; business requirements for customer outreach</t>
    </r>
    <r>
      <rPr>
        <b/>
        <sz val="11"/>
        <color rgb="FF000000"/>
        <rFont val="Calibri"/>
        <scheme val="minor"/>
      </rPr>
      <t xml:space="preserve"> (1.2.2, Customer Outreach UI in Flowable)</t>
    </r>
  </si>
  <si>
    <r>
      <rPr>
        <sz val="11"/>
        <color rgb="FF000000"/>
        <rFont val="Calibri"/>
      </rPr>
      <t xml:space="preserve">User stories &amp; business requirements for document processing (ISDA form) </t>
    </r>
    <r>
      <rPr>
        <b/>
        <sz val="11"/>
        <color rgb="FF000000"/>
        <rFont val="Calibri"/>
      </rPr>
      <t>(1.2.3, Intelligent Document Processing in DEPS)</t>
    </r>
  </si>
  <si>
    <t>Wed</t>
  </si>
  <si>
    <r>
      <rPr>
        <sz val="11"/>
        <color rgb="FF000000"/>
        <rFont val="Calibri"/>
      </rPr>
      <t xml:space="preserve">User stories &amp; business requirements for document processing (KYC form) </t>
    </r>
    <r>
      <rPr>
        <b/>
        <sz val="11"/>
        <color rgb="FF000000"/>
        <rFont val="Calibri"/>
      </rPr>
      <t>(1.2.3, Intelligent Document Processing in DEPS)</t>
    </r>
  </si>
  <si>
    <t>Fri</t>
  </si>
  <si>
    <t>14/3/2025</t>
  </si>
  <si>
    <r>
      <rPr>
        <sz val="11"/>
        <color rgb="FF000000"/>
        <rFont val="Calibri"/>
        <scheme val="minor"/>
      </rPr>
      <t xml:space="preserve">MIRO workflow map of end to end process </t>
    </r>
    <r>
      <rPr>
        <b/>
        <sz val="11"/>
        <color rgb="FF000000"/>
        <rFont val="Calibri"/>
        <scheme val="minor"/>
      </rPr>
      <t>(1.2.1, Workflow Mapping)</t>
    </r>
  </si>
  <si>
    <r>
      <rPr>
        <sz val="11"/>
        <color rgb="FF000000"/>
        <rFont val="Calibri"/>
        <scheme val="minor"/>
      </rPr>
      <t xml:space="preserve">Drafting customer outreach templates </t>
    </r>
    <r>
      <rPr>
        <b/>
        <sz val="11"/>
        <color rgb="FF000000"/>
        <rFont val="Calibri"/>
        <scheme val="minor"/>
      </rPr>
      <t>(1.2.2, Customer Outreach UI in Flowable)</t>
    </r>
  </si>
  <si>
    <r>
      <rPr>
        <sz val="11"/>
        <color rgb="FF000000"/>
        <rFont val="Calibri"/>
        <scheme val="minor"/>
      </rPr>
      <t xml:space="preserve">Drafting v2 outreach templates </t>
    </r>
    <r>
      <rPr>
        <b/>
        <sz val="11"/>
        <color rgb="FF000000"/>
        <rFont val="Calibri"/>
        <scheme val="minor"/>
      </rPr>
      <t>(1.2.2, Customer Outreach UI in Flowable)</t>
    </r>
  </si>
  <si>
    <t>29/5/2025</t>
  </si>
  <si>
    <r>
      <rPr>
        <sz val="11"/>
        <color rgb="FF000000"/>
        <rFont val="Calibri"/>
        <scheme val="minor"/>
      </rPr>
      <t xml:space="preserve">Business requirements and user stories for KYC MI Dashboard </t>
    </r>
    <r>
      <rPr>
        <b/>
        <sz val="11"/>
        <color rgb="FF000000"/>
        <rFont val="Calibri"/>
        <scheme val="minor"/>
      </rPr>
      <t>(1.2.4, MI Dashboard)</t>
    </r>
  </si>
  <si>
    <t>30/5/2025</t>
  </si>
  <si>
    <t>Thu</t>
  </si>
  <si>
    <t>25/4/25</t>
  </si>
  <si>
    <r>
      <rPr>
        <sz val="11"/>
        <color rgb="FF000000"/>
        <rFont val="Calibri"/>
      </rPr>
      <t xml:space="preserve">Solution Demo </t>
    </r>
    <r>
      <rPr>
        <b/>
        <sz val="11"/>
        <color rgb="FF000000"/>
        <rFont val="Calibri"/>
      </rPr>
      <t>(All deliverables under project 1.1)</t>
    </r>
  </si>
  <si>
    <r>
      <rPr>
        <sz val="11"/>
        <color rgb="FF000000"/>
        <rFont val="Calibri"/>
        <scheme val="minor"/>
      </rPr>
      <t xml:space="preserve">Creating policy for policy interpretation agent to digest. </t>
    </r>
    <r>
      <rPr>
        <b/>
        <sz val="11"/>
        <color rgb="FF000000"/>
        <rFont val="Calibri"/>
        <scheme val="minor"/>
      </rPr>
      <t>(1.1.1, Policy Interpretation Agent)</t>
    </r>
  </si>
  <si>
    <r>
      <rPr>
        <sz val="11"/>
        <color rgb="FF000000"/>
        <rFont val="Calibri"/>
        <scheme val="minor"/>
      </rPr>
      <t xml:space="preserve">Writing business requirements &amp; user stories for all agents </t>
    </r>
    <r>
      <rPr>
        <b/>
        <sz val="11"/>
        <color rgb="FF000000"/>
        <rFont val="Calibri"/>
        <scheme val="minor"/>
      </rPr>
      <t>(All deliverables under project 1.1)</t>
    </r>
  </si>
  <si>
    <r>
      <rPr>
        <sz val="11"/>
        <color rgb="FF000000"/>
        <rFont val="Calibri"/>
        <scheme val="minor"/>
      </rPr>
      <t xml:space="preserve">Writing business requirements user stories for all agents </t>
    </r>
    <r>
      <rPr>
        <b/>
        <sz val="11"/>
        <color rgb="FF000000"/>
        <rFont val="Calibri"/>
        <scheme val="minor"/>
      </rPr>
      <t>(All deliverables under project 1.1)</t>
    </r>
  </si>
  <si>
    <r>
      <rPr>
        <sz val="11"/>
        <color rgb="FF000000"/>
        <rFont val="Calibri"/>
        <scheme val="minor"/>
      </rPr>
      <t xml:space="preserve">Mapping data points and where they can be collected. </t>
    </r>
    <r>
      <rPr>
        <b/>
        <sz val="11"/>
        <color rgb="FF000000"/>
        <rFont val="Calibri"/>
        <scheme val="minor"/>
      </rPr>
      <t>(1.1.2, Data Collection Agent)</t>
    </r>
  </si>
  <si>
    <r>
      <rPr>
        <sz val="11"/>
        <color rgb="FF000000"/>
        <rFont val="Calibri"/>
        <scheme val="minor"/>
      </rPr>
      <t xml:space="preserve">Building Risk Assessment Matrix. </t>
    </r>
    <r>
      <rPr>
        <b/>
        <sz val="11"/>
        <color rgb="FF000000"/>
        <rFont val="Calibri"/>
        <scheme val="minor"/>
      </rPr>
      <t>(1.1.4, Risk Assessment Agent)</t>
    </r>
  </si>
  <si>
    <r>
      <rPr>
        <sz val="11"/>
        <color rgb="FF000000"/>
        <rFont val="Calibri"/>
        <scheme val="minor"/>
      </rPr>
      <t xml:space="preserve">Locating and assessing public screening data. </t>
    </r>
    <r>
      <rPr>
        <b/>
        <sz val="11"/>
        <color rgb="FF000000"/>
        <rFont val="Calibri"/>
        <scheme val="minor"/>
      </rPr>
      <t>(1.1.3, Screening Agent)</t>
    </r>
  </si>
  <si>
    <r>
      <rPr>
        <sz val="11"/>
        <color rgb="FF000000"/>
        <rFont val="Calibri"/>
        <scheme val="minor"/>
      </rPr>
      <t xml:space="preserve">Drafting an output template for the final KYC report. </t>
    </r>
    <r>
      <rPr>
        <b/>
        <sz val="11"/>
        <color rgb="FF000000"/>
        <rFont val="Calibri"/>
        <scheme val="minor"/>
      </rPr>
      <t>(1.1.5, Profile Completion Agent)</t>
    </r>
  </si>
  <si>
    <t>20/6/2025</t>
  </si>
  <si>
    <r>
      <rPr>
        <sz val="11"/>
        <color rgb="FF000000"/>
        <rFont val="Calibri"/>
        <scheme val="minor"/>
      </rPr>
      <t>Prep for agentic demo</t>
    </r>
    <r>
      <rPr>
        <b/>
        <sz val="11"/>
        <color rgb="FF000000"/>
        <rFont val="Calibri"/>
        <scheme val="minor"/>
      </rPr>
      <t xml:space="preserve"> (All deliverables under project 1.1)</t>
    </r>
  </si>
  <si>
    <t>23/6/2025</t>
  </si>
  <si>
    <r>
      <rPr>
        <sz val="11"/>
        <color rgb="FF000000"/>
        <rFont val="Calibri"/>
        <scheme val="minor"/>
      </rPr>
      <t xml:space="preserve">Demo of all agents </t>
    </r>
    <r>
      <rPr>
        <b/>
        <sz val="11"/>
        <color rgb="FF000000"/>
        <rFont val="Calibri"/>
        <scheme val="minor"/>
      </rPr>
      <t>(All deliverables under project 1.1)</t>
    </r>
  </si>
  <si>
    <t xml:space="preserve">Total hours </t>
  </si>
  <si>
    <t>Employee Signed</t>
  </si>
  <si>
    <t>Supervisor/Manager Signed</t>
  </si>
  <si>
    <t>Date</t>
  </si>
  <si>
    <t>Friday</t>
  </si>
  <si>
    <t>Discussion and Working on creating user stories for all agents for demo (Applies to all of the deliverables under project 1.1)</t>
  </si>
  <si>
    <t>Working on creating user stories for all agents for demo (Applies to all of the deliverables under project 1.1)</t>
  </si>
  <si>
    <t>Monday</t>
  </si>
  <si>
    <t>Filming Agentic Demo Applies to all deliverables under project 1.1</t>
  </si>
  <si>
    <t>Thursday</t>
  </si>
  <si>
    <t>Building out draft Dashboard for Agentic Demo - Applies to all deliverables under project 1.1</t>
  </si>
  <si>
    <r>
      <rPr>
        <sz val="11"/>
        <color rgb="FF000000"/>
        <rFont val="Calibri"/>
        <scheme val="minor"/>
      </rPr>
      <t xml:space="preserve">Business requirements and user stories for KYC ID&amp;V Solution </t>
    </r>
    <r>
      <rPr>
        <b/>
        <sz val="11"/>
        <color rgb="FF000000"/>
        <rFont val="Calibri"/>
        <scheme val="minor"/>
      </rPr>
      <t>(1.2.4, KYC ID&amp;V Solution)</t>
    </r>
  </si>
  <si>
    <r>
      <rPr>
        <sz val="11"/>
        <color rgb="FF000000"/>
        <rFont val="Calibri"/>
        <scheme val="minor"/>
      </rPr>
      <t xml:space="preserve">Business requirements and user stories for KYC ID&amp;V Solution </t>
    </r>
    <r>
      <rPr>
        <b/>
        <sz val="11"/>
        <color rgb="FF000000"/>
        <rFont val="Calibri"/>
        <scheme val="minor"/>
      </rPr>
      <t>(1.2.5, KYC ID&amp;V Solution)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</si>
</sst>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numFmts>
  <fonts count="28">
    <font>
      <sz val="11"/>
      <color theme="1"/>
      <name val="Calibri"/>
      <family val="2"/>
      <scheme val="minor"/>
    </font>
    <font>
      <sz val="10"/>
      <name val="Arial"/>
      <family val="2"/>
    </font>
    <font>
      <u/>
      <sz val="11"/>
      <color theme="10"/>
      <name val="Calibri"/>
      <family val="2"/>
      <scheme val="minor"/>
    </font>
    <font>
      <u/>
      <sz val="11"/>
      <color theme="11"/>
      <name val="Calibri"/>
      <family val="2"/>
      <scheme val="minor"/>
    </font>
    <font>
      <sz val="11"/>
      <color theme="1"/>
      <name val="Century Gothic"/>
      <family val="2"/>
    </font>
    <font>
      <b/>
      <sz val="11"/>
      <color theme="1"/>
      <name val="Century Gothic"/>
      <family val="2"/>
    </font>
    <font>
      <b/>
      <u/>
      <sz val="11"/>
      <color theme="1"/>
      <name val="Century Gothic"/>
      <family val="2"/>
    </font>
    <font>
      <sz val="11"/>
      <color rgb="FFFF0000"/>
      <name val="Century Gothic"/>
      <family val="2"/>
    </font>
    <font>
      <sz val="11"/>
      <name val="Century Gothic"/>
      <family val="2"/>
    </font>
    <font>
      <b/>
      <sz val="11"/>
      <color rgb="FFFFFFFF"/>
      <name val="Century Gothic"/>
      <family val="2"/>
    </font>
    <font>
      <sz val="11"/>
      <color rgb="FF000000"/>
      <name val="Century Gothic"/>
      <family val="2"/>
    </font>
    <font>
      <b/>
      <sz val="11"/>
      <color rgb="FFFF0000"/>
      <name val="Century Gothic"/>
      <family val="2"/>
    </font>
    <font>
      <b/>
      <sz val="14"/>
      <color theme="1"/>
      <name val="Century Gothic"/>
      <family val="2"/>
    </font>
    <font>
      <b/>
      <u/>
      <sz val="11"/>
      <name val="Century Gothic"/>
      <family val="2"/>
    </font>
    <font>
      <sz val="8"/>
      <name val="Calibri"/>
      <family val="2"/>
      <scheme val="minor"/>
    </font>
    <font>
      <b/>
      <i/>
      <u/>
      <sz val="11"/>
      <name val="Century Gothic"/>
      <family val="2"/>
    </font>
    <font>
      <sz val="9"/>
      <color theme="1"/>
      <name val="Calibri"/>
      <family val="2"/>
      <scheme val="minor"/>
    </font>
    <font>
      <sz val="9"/>
      <color rgb="FF000000"/>
      <name val="Calibri"/>
      <family val="2"/>
      <scheme val="minor"/>
    </font>
    <font>
      <sz val="9"/>
      <color theme="0"/>
      <name val="Calibri"/>
      <family val="2"/>
      <scheme val="minor"/>
    </font>
    <font>
      <b/>
      <sz val="11"/>
      <color theme="1"/>
      <name val="Calibri"/>
      <family val="2"/>
      <scheme val="minor"/>
    </font>
    <font>
      <i/>
      <sz val="11"/>
      <color theme="1"/>
      <name val="Calibri"/>
      <family val="2"/>
      <scheme val="minor"/>
    </font>
    <font>
      <b/>
      <u/>
      <sz val="12"/>
      <color theme="1"/>
      <name val="Calibri"/>
      <family val="2"/>
      <scheme val="minor"/>
    </font>
    <font>
      <b/>
      <u/>
      <sz val="11"/>
      <color rgb="FF000000"/>
      <name val="Century Gothic"/>
    </font>
    <font>
      <b/>
      <i/>
      <u/>
      <sz val="11"/>
      <color rgb="FF000000"/>
      <name val="Century Gothic"/>
    </font>
    <font>
      <sz val="11"/>
      <color rgb="FF000000"/>
      <name val="Calibri"/>
      <scheme val="minor"/>
    </font>
    <font>
      <b/>
      <sz val="11"/>
      <color rgb="FF000000"/>
      <name val="Calibri"/>
      <scheme val="minor"/>
    </font>
    <font>
      <sz val="11"/>
      <color rgb="FF000000"/>
      <name val="Calibri"/>
    </font>
    <font>
      <b/>
      <sz val="11"/>
      <color rgb="FF000000"/>
      <name val="Calibri"/>
    </font>
  </fonts>
  <fills count="9">
    <fill>
      <patternFill patternType="none"/>
    </fill>
    <fill>
      <patternFill patternType="gray125"/>
    </fill>
    <fill>
      <patternFill patternType="solid">
        <fgColor theme="4" tint="0.79995117038483843"/>
        <bgColor indexed="64"/>
      </patternFill>
    </fill>
    <fill>
      <patternFill patternType="solid">
        <fgColor theme="7" tint="0.79995117038483843"/>
        <bgColor indexed="64"/>
      </patternFill>
    </fill>
    <fill>
      <patternFill patternType="solid">
        <fgColor rgb="FF7030A0"/>
        <bgColor indexed="64"/>
      </patternFill>
    </fill>
    <fill>
      <patternFill patternType="solid">
        <fgColor theme="0"/>
        <bgColor indexed="64"/>
      </patternFill>
    </fill>
    <fill>
      <patternFill patternType="solid">
        <fgColor rgb="FFFFFFFF"/>
        <bgColor indexed="64"/>
      </patternFill>
    </fill>
    <fill>
      <patternFill patternType="solid">
        <fgColor theme="1"/>
        <bgColor indexed="64"/>
      </patternFill>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dotted">
        <color auto="1"/>
      </left>
      <right style="dotted">
        <color auto="1"/>
      </right>
      <top style="dotted">
        <color auto="1"/>
      </top>
      <bottom style="dotted">
        <color auto="1"/>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style="medium">
        <color indexed="64"/>
      </bottom>
      <diagonal/>
    </border>
  </borders>
  <cellStyleXfs count="48">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70">
    <xf numFmtId="0" fontId="0" fillId="0" borderId="0" xfId="0"/>
    <xf numFmtId="0" fontId="4" fillId="3" borderId="0" xfId="0" applyFont="1" applyFill="1" applyAlignment="1">
      <alignment horizontal="left" vertical="top"/>
    </xf>
    <xf numFmtId="0" fontId="4" fillId="0" borderId="0" xfId="0" applyFont="1" applyAlignment="1">
      <alignment vertical="top"/>
    </xf>
    <xf numFmtId="0" fontId="4" fillId="0" borderId="0" xfId="0" applyFont="1" applyAlignment="1">
      <alignment horizontal="center" vertical="top"/>
    </xf>
    <xf numFmtId="0" fontId="4" fillId="3" borderId="0" xfId="0" applyFont="1" applyFill="1" applyAlignment="1">
      <alignment vertical="top"/>
    </xf>
    <xf numFmtId="0" fontId="4" fillId="3" borderId="0" xfId="0" applyFont="1" applyFill="1" applyAlignment="1">
      <alignment horizontal="center" vertical="top"/>
    </xf>
    <xf numFmtId="0" fontId="6" fillId="3" borderId="0" xfId="0" applyFont="1" applyFill="1" applyAlignment="1">
      <alignment horizontal="center" vertical="top"/>
    </xf>
    <xf numFmtId="0" fontId="8" fillId="3" borderId="0" xfId="0" applyFont="1" applyFill="1" applyAlignment="1">
      <alignment horizontal="center" vertical="top"/>
    </xf>
    <xf numFmtId="0" fontId="9" fillId="4" borderId="1" xfId="0" applyFont="1" applyFill="1" applyBorder="1" applyAlignment="1">
      <alignment horizontal="center" vertical="top" wrapText="1"/>
    </xf>
    <xf numFmtId="0" fontId="9" fillId="4" borderId="1" xfId="0" applyFont="1" applyFill="1" applyBorder="1" applyAlignment="1">
      <alignment vertical="top" wrapText="1"/>
    </xf>
    <xf numFmtId="0" fontId="9" fillId="4" borderId="2" xfId="0" applyFont="1" applyFill="1" applyBorder="1" applyAlignment="1">
      <alignment vertical="top" wrapText="1"/>
    </xf>
    <xf numFmtId="0" fontId="9" fillId="4" borderId="2" xfId="0" applyFont="1" applyFill="1" applyBorder="1" applyAlignment="1">
      <alignment horizontal="center" vertical="top" wrapText="1"/>
    </xf>
    <xf numFmtId="0" fontId="9" fillId="4" borderId="3" xfId="0" applyFont="1" applyFill="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4" fillId="5" borderId="1" xfId="0" applyFont="1" applyFill="1" applyBorder="1" applyAlignment="1">
      <alignment vertical="top" wrapText="1"/>
    </xf>
    <xf numFmtId="0" fontId="10" fillId="0" borderId="1" xfId="0" applyFont="1" applyBorder="1" applyAlignment="1">
      <alignment vertical="top" wrapText="1"/>
    </xf>
    <xf numFmtId="0" fontId="4" fillId="5" borderId="0" xfId="0" applyFont="1" applyFill="1" applyAlignment="1">
      <alignment vertical="top"/>
    </xf>
    <xf numFmtId="0" fontId="9" fillId="4" borderId="3" xfId="0" applyFont="1" applyFill="1" applyBorder="1" applyAlignment="1">
      <alignment vertical="top" wrapText="1"/>
    </xf>
    <xf numFmtId="0" fontId="4" fillId="0" borderId="0" xfId="0" applyFont="1" applyAlignment="1">
      <alignment vertical="center"/>
    </xf>
    <xf numFmtId="0" fontId="7" fillId="3" borderId="0" xfId="0" applyFont="1" applyFill="1" applyAlignment="1">
      <alignment horizontal="center" vertical="top"/>
    </xf>
    <xf numFmtId="0" fontId="6" fillId="3" borderId="0" xfId="0" applyFont="1" applyFill="1" applyAlignment="1">
      <alignment horizontal="left" vertical="top"/>
    </xf>
    <xf numFmtId="0" fontId="9" fillId="4" borderId="7" xfId="0" applyFont="1" applyFill="1" applyBorder="1" applyAlignment="1">
      <alignment horizontal="center" vertical="top" wrapText="1"/>
    </xf>
    <xf numFmtId="0" fontId="10" fillId="0" borderId="2" xfId="0" applyFont="1" applyBorder="1" applyAlignment="1">
      <alignment vertical="top" wrapText="1"/>
    </xf>
    <xf numFmtId="0" fontId="10" fillId="0" borderId="1" xfId="0" applyFont="1" applyBorder="1" applyAlignment="1">
      <alignment horizontal="left" vertical="top" wrapText="1"/>
    </xf>
    <xf numFmtId="0" fontId="7" fillId="0" borderId="1" xfId="0" applyFont="1" applyBorder="1" applyAlignment="1">
      <alignment vertical="top" wrapText="1"/>
    </xf>
    <xf numFmtId="0" fontId="10" fillId="0" borderId="4" xfId="0" applyFont="1" applyBorder="1" applyAlignment="1">
      <alignment vertical="top" wrapText="1"/>
    </xf>
    <xf numFmtId="0" fontId="10" fillId="0" borderId="3" xfId="0" applyFont="1" applyBorder="1" applyAlignment="1">
      <alignment vertical="top" wrapText="1"/>
    </xf>
    <xf numFmtId="0" fontId="7" fillId="0" borderId="4"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10" xfId="0" applyFont="1" applyBorder="1" applyAlignment="1">
      <alignment horizontal="center" vertical="top" wrapText="1"/>
    </xf>
    <xf numFmtId="0" fontId="7" fillId="0" borderId="8" xfId="0" applyFont="1" applyBorder="1" applyAlignment="1">
      <alignment vertical="top" wrapText="1"/>
    </xf>
    <xf numFmtId="0" fontId="4" fillId="6" borderId="1" xfId="0" applyFont="1" applyFill="1" applyBorder="1" applyAlignment="1">
      <alignment vertical="top" wrapText="1"/>
    </xf>
    <xf numFmtId="0" fontId="4" fillId="6" borderId="4" xfId="0" applyFont="1" applyFill="1" applyBorder="1" applyAlignment="1">
      <alignment vertical="top" wrapText="1"/>
    </xf>
    <xf numFmtId="0" fontId="10" fillId="6" borderId="1" xfId="0" applyFont="1" applyFill="1" applyBorder="1" applyAlignment="1">
      <alignment horizontal="left" vertical="top" wrapText="1"/>
    </xf>
    <xf numFmtId="0" fontId="10" fillId="6" borderId="10" xfId="0" applyFont="1" applyFill="1" applyBorder="1" applyAlignment="1">
      <alignment horizontal="left" vertical="top" wrapText="1"/>
    </xf>
    <xf numFmtId="0" fontId="10" fillId="0" borderId="1" xfId="0" applyFont="1" applyBorder="1" applyAlignment="1">
      <alignment horizontal="center" vertical="top" wrapText="1"/>
    </xf>
    <xf numFmtId="0" fontId="4" fillId="6"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8" fillId="3" borderId="0" xfId="0" applyFont="1" applyFill="1" applyAlignment="1">
      <alignment horizontal="left" vertical="top"/>
    </xf>
    <xf numFmtId="0" fontId="8" fillId="6" borderId="1" xfId="0" applyFont="1" applyFill="1" applyBorder="1" applyAlignment="1">
      <alignment vertical="top" wrapText="1"/>
    </xf>
    <xf numFmtId="0" fontId="16" fillId="0" borderId="14" xfId="0" applyFont="1" applyBorder="1"/>
    <xf numFmtId="0" fontId="17" fillId="0" borderId="14" xfId="0" applyFont="1" applyBorder="1" applyAlignment="1">
      <alignment horizontal="left" vertical="top" wrapText="1"/>
    </xf>
    <xf numFmtId="0" fontId="16" fillId="0" borderId="14" xfId="0" applyFont="1" applyBorder="1" applyAlignment="1">
      <alignment horizontal="left" vertical="top"/>
    </xf>
    <xf numFmtId="0" fontId="17" fillId="0" borderId="14" xfId="0" applyFont="1" applyBorder="1" applyAlignment="1">
      <alignment vertical="top" wrapText="1"/>
    </xf>
    <xf numFmtId="0" fontId="16" fillId="0" borderId="14" xfId="0" applyFont="1" applyBorder="1" applyAlignment="1">
      <alignment horizontal="left" vertical="top" wrapText="1"/>
    </xf>
    <xf numFmtId="0" fontId="16" fillId="0" borderId="14" xfId="0" applyFont="1" applyBorder="1" applyAlignment="1">
      <alignment vertical="top" wrapText="1"/>
    </xf>
    <xf numFmtId="0" fontId="16" fillId="0" borderId="14" xfId="0" applyFont="1" applyBorder="1" applyAlignment="1">
      <alignment vertical="top"/>
    </xf>
    <xf numFmtId="0" fontId="16" fillId="6" borderId="14" xfId="0" applyFont="1" applyFill="1" applyBorder="1" applyAlignment="1">
      <alignment horizontal="left" vertical="top" wrapText="1"/>
    </xf>
    <xf numFmtId="0" fontId="16" fillId="6" borderId="14" xfId="0" applyFont="1" applyFill="1" applyBorder="1" applyAlignment="1">
      <alignment vertical="top" wrapText="1"/>
    </xf>
    <xf numFmtId="0" fontId="17" fillId="6" borderId="14" xfId="0" applyFont="1" applyFill="1" applyBorder="1" applyAlignment="1">
      <alignment horizontal="left" vertical="top" wrapText="1"/>
    </xf>
    <xf numFmtId="0" fontId="18" fillId="7" borderId="0" xfId="0" applyFont="1" applyFill="1"/>
    <xf numFmtId="0" fontId="18" fillId="7" borderId="14" xfId="0" applyFont="1" applyFill="1" applyBorder="1"/>
    <xf numFmtId="0" fontId="20" fillId="0" borderId="0" xfId="0" applyFont="1"/>
    <xf numFmtId="164" fontId="0" fillId="0" borderId="1" xfId="0" applyNumberFormat="1" applyBorder="1"/>
    <xf numFmtId="14" fontId="0" fillId="0" borderId="1" xfId="0" applyNumberFormat="1" applyBorder="1"/>
    <xf numFmtId="0" fontId="0" fillId="0" borderId="15" xfId="0" applyBorder="1"/>
    <xf numFmtId="14" fontId="0" fillId="0" borderId="4" xfId="0" applyNumberFormat="1" applyBorder="1"/>
    <xf numFmtId="14" fontId="0" fillId="0" borderId="16" xfId="0" applyNumberFormat="1" applyBorder="1"/>
    <xf numFmtId="0" fontId="0" fillId="0" borderId="19" xfId="0" applyBorder="1" applyAlignment="1">
      <alignment horizontal="center"/>
    </xf>
    <xf numFmtId="0" fontId="0" fillId="0" borderId="0" xfId="0" applyAlignment="1">
      <alignment horizontal="center"/>
    </xf>
    <xf numFmtId="0" fontId="0" fillId="0" borderId="0" xfId="0" applyAlignment="1">
      <alignment horizontal="right"/>
    </xf>
    <xf numFmtId="0" fontId="21" fillId="0" borderId="0" xfId="0" applyFont="1" applyAlignment="1">
      <alignment vertical="center"/>
    </xf>
    <xf numFmtId="0" fontId="21" fillId="0" borderId="0" xfId="0" applyFont="1" applyAlignment="1">
      <alignment horizontal="right"/>
    </xf>
    <xf numFmtId="0" fontId="21" fillId="0" borderId="0" xfId="0" applyFont="1" applyAlignment="1">
      <alignment horizontal="center"/>
    </xf>
    <xf numFmtId="0" fontId="21" fillId="0" borderId="0" xfId="0" applyFont="1"/>
    <xf numFmtId="0" fontId="19" fillId="0" borderId="19" xfId="0" applyFont="1" applyBorder="1" applyAlignment="1">
      <alignment horizontal="center" vertical="center"/>
    </xf>
    <xf numFmtId="0" fontId="0" fillId="0" borderId="17" xfId="0" applyBorder="1"/>
    <xf numFmtId="17" fontId="10" fillId="0" borderId="5" xfId="0" applyNumberFormat="1" applyFont="1" applyBorder="1" applyAlignment="1">
      <alignment horizontal="center" vertical="top" wrapText="1"/>
    </xf>
    <xf numFmtId="17" fontId="16" fillId="0" borderId="14" xfId="0" applyNumberFormat="1" applyFont="1" applyBorder="1"/>
    <xf numFmtId="17" fontId="17" fillId="0" borderId="14" xfId="0" applyNumberFormat="1" applyFont="1" applyBorder="1" applyAlignment="1">
      <alignment horizontal="left" vertical="top" wrapText="1"/>
    </xf>
    <xf numFmtId="0" fontId="0" fillId="0" borderId="0" xfId="0" applyAlignment="1">
      <alignment wrapText="1"/>
    </xf>
    <xf numFmtId="0" fontId="19" fillId="0" borderId="1" xfId="0" applyFont="1" applyBorder="1" applyAlignment="1">
      <alignment vertical="center"/>
    </xf>
    <xf numFmtId="0" fontId="19" fillId="8" borderId="1" xfId="0" applyFont="1" applyFill="1" applyBorder="1" applyAlignment="1">
      <alignment vertical="center"/>
    </xf>
    <xf numFmtId="0" fontId="19" fillId="0" borderId="19" xfId="0" applyFont="1" applyBorder="1" applyAlignment="1">
      <alignment vertical="center"/>
    </xf>
    <xf numFmtId="164" fontId="0" fillId="0" borderId="1" xfId="0" applyNumberFormat="1" applyBorder="1" applyAlignment="1">
      <alignment horizontal="center"/>
    </xf>
    <xf numFmtId="14" fontId="0" fillId="0" borderId="4" xfId="0" applyNumberFormat="1" applyBorder="1" applyAlignment="1">
      <alignment horizontal="center"/>
    </xf>
    <xf numFmtId="0" fontId="21" fillId="0" borderId="0" xfId="0" applyFont="1" applyAlignment="1">
      <alignment horizontal="center" vertical="center"/>
    </xf>
    <xf numFmtId="16" fontId="4" fillId="0" borderId="1" xfId="0" applyNumberFormat="1" applyFont="1" applyBorder="1" applyAlignment="1">
      <alignment horizontal="center" vertical="top" wrapText="1"/>
    </xf>
    <xf numFmtId="0" fontId="0" fillId="0" borderId="19" xfId="0" applyBorder="1"/>
    <xf numFmtId="0" fontId="19" fillId="0" borderId="1" xfId="0" applyFont="1" applyBorder="1" applyAlignment="1">
      <alignment horizontal="left" vertical="center"/>
    </xf>
    <xf numFmtId="164" fontId="0" fillId="0" borderId="1" xfId="0" applyNumberFormat="1" applyBorder="1" applyAlignment="1">
      <alignment horizontal="left"/>
    </xf>
    <xf numFmtId="0" fontId="19" fillId="0" borderId="4" xfId="0" applyFont="1" applyBorder="1" applyAlignment="1">
      <alignment horizontal="left" vertical="center"/>
    </xf>
    <xf numFmtId="0" fontId="0" fillId="0" borderId="8" xfId="0" applyBorder="1" applyAlignment="1">
      <alignment horizontal="left" vertical="center"/>
    </xf>
    <xf numFmtId="14" fontId="0" fillId="0" borderId="8" xfId="0" applyNumberFormat="1" applyBorder="1" applyAlignment="1">
      <alignment horizontal="left" vertical="center"/>
    </xf>
    <xf numFmtId="0" fontId="24" fillId="0" borderId="8" xfId="0" applyFont="1" applyBorder="1" applyAlignment="1">
      <alignment horizontal="left" vertical="center" wrapText="1"/>
    </xf>
    <xf numFmtId="0" fontId="26" fillId="0" borderId="8" xfId="0" applyFont="1" applyBorder="1" applyAlignment="1">
      <alignment horizontal="left" wrapText="1"/>
    </xf>
    <xf numFmtId="0" fontId="0" fillId="0" borderId="20" xfId="0" applyBorder="1" applyAlignment="1">
      <alignment horizontal="left" vertical="center"/>
    </xf>
    <xf numFmtId="14" fontId="0" fillId="0" borderId="20" xfId="0" applyNumberFormat="1" applyBorder="1" applyAlignment="1">
      <alignment horizontal="left" vertical="center"/>
    </xf>
    <xf numFmtId="0" fontId="0" fillId="0" borderId="8" xfId="0" applyBorder="1" applyAlignment="1">
      <alignment horizontal="left"/>
    </xf>
    <xf numFmtId="14" fontId="0" fillId="0" borderId="8" xfId="0" applyNumberFormat="1" applyBorder="1" applyAlignment="1">
      <alignment horizontal="left"/>
    </xf>
    <xf numFmtId="0" fontId="24" fillId="0" borderId="8" xfId="0" applyFont="1" applyBorder="1" applyAlignment="1">
      <alignment horizontal="left" wrapText="1"/>
    </xf>
    <xf numFmtId="0" fontId="0" fillId="0" borderId="21" xfId="0" applyBorder="1" applyAlignment="1">
      <alignment horizontal="left"/>
    </xf>
    <xf numFmtId="14" fontId="0" fillId="0" borderId="21" xfId="0" applyNumberFormat="1" applyBorder="1" applyAlignment="1">
      <alignment horizontal="left"/>
    </xf>
    <xf numFmtId="0" fontId="0" fillId="0" borderId="21" xfId="0" applyBorder="1" applyAlignment="1">
      <alignment horizontal="left" vertical="center"/>
    </xf>
    <xf numFmtId="164" fontId="0" fillId="0" borderId="6" xfId="0" applyNumberFormat="1" applyBorder="1" applyAlignment="1">
      <alignment horizontal="left"/>
    </xf>
    <xf numFmtId="14" fontId="0" fillId="0" borderId="6" xfId="0" applyNumberFormat="1" applyBorder="1" applyAlignment="1">
      <alignment horizontal="left"/>
    </xf>
    <xf numFmtId="14" fontId="0" fillId="0" borderId="1" xfId="0" applyNumberFormat="1" applyBorder="1" applyAlignment="1">
      <alignment horizontal="left"/>
    </xf>
    <xf numFmtId="0" fontId="0" fillId="0" borderId="15" xfId="0" applyBorder="1" applyAlignment="1">
      <alignment horizontal="left"/>
    </xf>
    <xf numFmtId="0" fontId="0" fillId="0" borderId="15" xfId="0" applyBorder="1" applyAlignment="1">
      <alignment horizontal="center"/>
    </xf>
    <xf numFmtId="0" fontId="0" fillId="0" borderId="13" xfId="0" applyBorder="1" applyAlignment="1">
      <alignment horizontal="center"/>
    </xf>
    <xf numFmtId="0" fontId="4" fillId="0" borderId="4"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19" fillId="0" borderId="2" xfId="0" applyFont="1" applyBorder="1" applyAlignment="1">
      <alignment vertical="center"/>
    </xf>
    <xf numFmtId="0" fontId="19" fillId="0" borderId="2" xfId="0" applyFont="1" applyBorder="1" applyAlignment="1">
      <alignment horizontal="center" vertical="center"/>
    </xf>
    <xf numFmtId="0" fontId="19" fillId="0" borderId="0" xfId="0" applyFont="1" applyAlignment="1">
      <alignment horizontal="left" vertical="center" wrapText="1"/>
    </xf>
    <xf numFmtId="0" fontId="24" fillId="0" borderId="0" xfId="0" applyFont="1" applyAlignment="1">
      <alignment horizontal="left" vertical="center" wrapText="1"/>
    </xf>
    <xf numFmtId="0" fontId="26" fillId="0" borderId="0" xfId="0" applyFont="1" applyAlignment="1">
      <alignment horizontal="left" wrapText="1"/>
    </xf>
    <xf numFmtId="0" fontId="24" fillId="0" borderId="0" xfId="0" applyFont="1" applyAlignment="1">
      <alignment horizontal="left" wrapText="1"/>
    </xf>
    <xf numFmtId="0" fontId="26" fillId="0" borderId="0" xfId="0" applyFont="1" applyAlignment="1">
      <alignment horizontal="left" vertical="center" wrapText="1"/>
    </xf>
    <xf numFmtId="0" fontId="0" fillId="0" borderId="0" xfId="0" applyAlignment="1">
      <alignment horizontal="left" wrapText="1"/>
    </xf>
    <xf numFmtId="0" fontId="19" fillId="0" borderId="17" xfId="0" applyFont="1" applyBorder="1" applyAlignment="1">
      <alignment vertical="center" wrapText="1"/>
    </xf>
    <xf numFmtId="0" fontId="19" fillId="0" borderId="8" xfId="0" applyFont="1" applyBorder="1" applyAlignment="1">
      <alignment horizontal="left" vertical="center" wrapText="1"/>
    </xf>
    <xf numFmtId="0" fontId="26" fillId="0" borderId="8" xfId="0" applyFont="1" applyBorder="1" applyAlignment="1">
      <alignment horizontal="left" vertical="center" wrapText="1"/>
    </xf>
    <xf numFmtId="0" fontId="0" fillId="0" borderId="8" xfId="0" applyBorder="1"/>
    <xf numFmtId="0" fontId="19" fillId="0" borderId="3" xfId="0" applyFont="1" applyBorder="1" applyAlignment="1">
      <alignment horizontal="center" vertical="center"/>
    </xf>
    <xf numFmtId="0" fontId="0" fillId="0" borderId="9" xfId="0" applyBorder="1" applyAlignment="1">
      <alignment horizontal="center" vertical="center"/>
    </xf>
    <xf numFmtId="0" fontId="0" fillId="0" borderId="22" xfId="0" applyBorder="1" applyAlignment="1">
      <alignment horizontal="center" vertical="center"/>
    </xf>
    <xf numFmtId="0" fontId="0" fillId="0" borderId="9" xfId="0" applyBorder="1" applyAlignment="1">
      <alignment horizontal="center"/>
    </xf>
    <xf numFmtId="0" fontId="0" fillId="0" borderId="23" xfId="0" applyBorder="1" applyAlignment="1">
      <alignment horizontal="center"/>
    </xf>
    <xf numFmtId="0" fontId="0" fillId="0" borderId="23" xfId="0" applyBorder="1" applyAlignment="1">
      <alignment horizontal="center" vertical="center"/>
    </xf>
    <xf numFmtId="0" fontId="0" fillId="0" borderId="24" xfId="0" applyBorder="1"/>
    <xf numFmtId="0" fontId="24" fillId="0" borderId="8" xfId="0" applyFont="1" applyBorder="1" applyAlignment="1">
      <alignment horizontal="left"/>
    </xf>
    <xf numFmtId="0" fontId="19" fillId="0" borderId="0" xfId="0" applyFont="1"/>
    <xf numFmtId="0" fontId="19" fillId="0" borderId="0" xfId="0" applyFont="1" applyAlignment="1">
      <alignment horizontal="left" vertical="center"/>
    </xf>
    <xf numFmtId="0" fontId="24" fillId="0" borderId="0" xfId="0" applyFont="1" applyAlignment="1">
      <alignment horizontal="left" vertical="center"/>
    </xf>
    <xf numFmtId="0" fontId="26" fillId="0" borderId="0" xfId="0" applyFont="1" applyAlignment="1">
      <alignment horizontal="left"/>
    </xf>
    <xf numFmtId="0" fontId="24" fillId="0" borderId="0" xfId="0" applyFont="1" applyAlignment="1">
      <alignment horizontal="left"/>
    </xf>
    <xf numFmtId="0" fontId="26" fillId="0" borderId="0" xfId="0" applyFont="1" applyAlignment="1">
      <alignment horizontal="left" vertical="center"/>
    </xf>
    <xf numFmtId="0" fontId="21" fillId="0" borderId="0" xfId="0" applyFont="1" applyAlignment="1">
      <alignment wrapText="1"/>
    </xf>
    <xf numFmtId="0" fontId="19" fillId="0" borderId="0" xfId="0" applyFont="1" applyAlignment="1">
      <alignment vertical="center" wrapText="1"/>
    </xf>
    <xf numFmtId="0" fontId="19" fillId="0" borderId="8" xfId="0" applyFont="1" applyBorder="1" applyAlignment="1">
      <alignment vertical="center" wrapText="1"/>
    </xf>
    <xf numFmtId="0" fontId="19" fillId="0" borderId="8" xfId="0" applyFont="1" applyBorder="1" applyAlignment="1">
      <alignment vertical="center"/>
    </xf>
    <xf numFmtId="0" fontId="19" fillId="8" borderId="2" xfId="0" applyFont="1" applyFill="1" applyBorder="1" applyAlignment="1">
      <alignment vertical="center"/>
    </xf>
    <xf numFmtId="0" fontId="19" fillId="0" borderId="9" xfId="0" applyFont="1" applyBorder="1" applyAlignment="1">
      <alignment horizontal="left" vertical="center"/>
    </xf>
    <xf numFmtId="0" fontId="19" fillId="0" borderId="4" xfId="0" applyFont="1" applyBorder="1" applyAlignment="1">
      <alignment vertical="center"/>
    </xf>
    <xf numFmtId="0" fontId="19" fillId="0" borderId="6" xfId="0" applyFont="1" applyBorder="1" applyAlignment="1">
      <alignment vertical="center"/>
    </xf>
    <xf numFmtId="0" fontId="0" fillId="0" borderId="0" xfId="0" applyAlignment="1">
      <alignment horizontal="left"/>
    </xf>
    <xf numFmtId="0" fontId="19" fillId="0" borderId="8" xfId="0" applyFont="1" applyBorder="1" applyAlignment="1">
      <alignment horizontal="left" vertical="center"/>
    </xf>
    <xf numFmtId="0" fontId="19" fillId="0" borderId="0" xfId="0" applyFont="1" applyAlignment="1">
      <alignment horizontal="center" vertical="center"/>
    </xf>
    <xf numFmtId="0" fontId="19" fillId="0" borderId="17" xfId="0" applyFont="1" applyBorder="1" applyAlignment="1">
      <alignment horizontal="center" vertical="center"/>
    </xf>
    <xf numFmtId="0" fontId="19" fillId="0" borderId="8" xfId="0" applyFont="1" applyBorder="1" applyAlignment="1">
      <alignment horizontal="center" vertical="center"/>
    </xf>
    <xf numFmtId="0" fontId="22" fillId="0" borderId="0" xfId="0" applyFont="1" applyAlignment="1">
      <alignment horizontal="left" vertical="top"/>
    </xf>
    <xf numFmtId="0" fontId="6" fillId="0" borderId="0" xfId="0" applyFont="1" applyAlignment="1">
      <alignment horizontal="left" vertical="top"/>
    </xf>
    <xf numFmtId="0" fontId="10" fillId="0" borderId="4"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4"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8" fillId="6" borderId="12" xfId="0" applyFont="1" applyFill="1" applyBorder="1" applyAlignment="1">
      <alignment vertical="top" wrapText="1"/>
    </xf>
    <xf numFmtId="0" fontId="4" fillId="6" borderId="0" xfId="0" applyFont="1" applyFill="1" applyAlignment="1">
      <alignment vertical="top" wrapText="1"/>
    </xf>
    <xf numFmtId="0" fontId="4" fillId="6" borderId="13" xfId="0" applyFont="1" applyFill="1" applyBorder="1" applyAlignment="1">
      <alignment vertical="top" wrapText="1"/>
    </xf>
    <xf numFmtId="0" fontId="12" fillId="0" borderId="0" xfId="0" applyFont="1" applyAlignment="1">
      <alignment horizontal="left" vertical="center"/>
    </xf>
    <xf numFmtId="0" fontId="11" fillId="0" borderId="0" xfId="0" applyFont="1" applyAlignment="1">
      <alignment horizontal="left" vertical="top"/>
    </xf>
    <xf numFmtId="0" fontId="5" fillId="2" borderId="0" xfId="0" applyFont="1" applyFill="1" applyAlignment="1">
      <alignment horizontal="left" vertical="top"/>
    </xf>
    <xf numFmtId="0" fontId="13" fillId="0" borderId="0" xfId="0" applyFont="1" applyAlignment="1">
      <alignment horizontal="left" vertical="top"/>
    </xf>
    <xf numFmtId="0" fontId="4" fillId="3" borderId="0" xfId="0" applyFont="1" applyFill="1" applyAlignment="1">
      <alignment horizontal="left" vertical="top"/>
    </xf>
    <xf numFmtId="0" fontId="0" fillId="0" borderId="0" xfId="0" applyAlignment="1">
      <alignment horizontal="center"/>
    </xf>
    <xf numFmtId="0" fontId="19" fillId="0" borderId="1" xfId="0" applyFont="1" applyBorder="1" applyAlignment="1">
      <alignment vertical="center"/>
    </xf>
    <xf numFmtId="0" fontId="19" fillId="0" borderId="8" xfId="0" applyFont="1" applyBorder="1" applyAlignment="1">
      <alignment vertical="center"/>
    </xf>
    <xf numFmtId="0" fontId="19" fillId="0" borderId="13" xfId="0" applyFont="1" applyBorder="1" applyAlignment="1">
      <alignment horizontal="center"/>
    </xf>
    <xf numFmtId="0" fontId="19" fillId="0" borderId="0" xfId="0" applyFont="1" applyAlignment="1">
      <alignment horizontal="center"/>
    </xf>
    <xf numFmtId="0" fontId="0" fillId="0" borderId="17" xfId="0" applyBorder="1" applyAlignment="1">
      <alignment horizontal="right"/>
    </xf>
    <xf numFmtId="0" fontId="0" fillId="0" borderId="18" xfId="0" applyBorder="1" applyAlignment="1">
      <alignment horizontal="right"/>
    </xf>
    <xf numFmtId="0" fontId="19" fillId="0" borderId="0" xfId="0" applyFont="1" applyAlignment="1"/>
    <xf numFmtId="0" fontId="0" fillId="0" borderId="17" xfId="0" applyBorder="1" applyAlignment="1"/>
    <xf numFmtId="0" fontId="0" fillId="0" borderId="18" xfId="0" applyBorder="1" applyAlignment="1"/>
  </cellXfs>
  <cellStyles count="48">
    <cellStyle name="Followed Hyperlink" xfId="47"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1" builtinId="9" hidden="1"/>
    <cellStyle name="Followed Hyperlink" xfId="41" builtinId="9" hidden="1"/>
    <cellStyle name="Followed Hyperlink" xfId="43" builtinId="9" hidden="1"/>
    <cellStyle name="Followed Hyperlink" xfId="45" builtinId="9" hidden="1"/>
    <cellStyle name="Followed Hyperlink" xfId="37" builtinId="9" hidden="1"/>
    <cellStyle name="Followed Hyperlink" xfId="39" builtinId="9" hidden="1"/>
    <cellStyle name="Followed Hyperlink" xfId="3" builtinId="9" hidden="1"/>
    <cellStyle name="Followed Hyperlink" xfId="23" builtinId="9" hidden="1"/>
    <cellStyle name="Followed Hyperlink" xfId="11" builtinId="9" hidden="1"/>
    <cellStyle name="Followed Hyperlink" xfId="25" builtinId="9" hidden="1"/>
    <cellStyle name="Followed Hyperlink" xfId="17" builtinId="9" hidden="1"/>
    <cellStyle name="Followed Hyperlink" xfId="19" builtinId="9" hidden="1"/>
    <cellStyle name="Followed Hyperlink" xfId="13"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21" builtinId="9" hidden="1"/>
    <cellStyle name="Hyperlink" xfId="16" builtinId="8" hidden="1"/>
    <cellStyle name="Hyperlink" xfId="24" builtinId="8" hidden="1"/>
    <cellStyle name="Hyperlink" xfId="34" builtinId="8" hidden="1"/>
    <cellStyle name="Hyperlink" xfId="36" builtinId="8" hidden="1"/>
    <cellStyle name="Hyperlink" xfId="44" builtinId="8" hidden="1"/>
    <cellStyle name="Hyperlink" xfId="2" builtinId="8" hidden="1"/>
    <cellStyle name="Hyperlink" xfId="32" builtinId="8" hidden="1"/>
    <cellStyle name="Hyperlink" xfId="18" builtinId="8" hidden="1"/>
    <cellStyle name="Hyperlink" xfId="14" builtinId="8" hidden="1"/>
    <cellStyle name="Hyperlink" xfId="40" builtinId="8" hidden="1"/>
    <cellStyle name="Hyperlink" xfId="4" builtinId="8" hidden="1"/>
    <cellStyle name="Hyperlink" xfId="42" builtinId="8" hidden="1"/>
    <cellStyle name="Hyperlink" xfId="10" builtinId="8" hidden="1"/>
    <cellStyle name="Hyperlink" xfId="30" builtinId="8" hidden="1"/>
    <cellStyle name="Hyperlink" xfId="26" builtinId="8" hidden="1"/>
    <cellStyle name="Hyperlink" xfId="6" builtinId="8" hidden="1"/>
    <cellStyle name="Hyperlink" xfId="46" builtinId="8" hidden="1"/>
    <cellStyle name="Hyperlink" xfId="20" builtinId="8" hidden="1"/>
    <cellStyle name="Hyperlink" xfId="8" builtinId="8" hidden="1"/>
    <cellStyle name="Hyperlink" xfId="22" builtinId="8" hidden="1"/>
    <cellStyle name="Hyperlink" xfId="28" builtinId="8" hidden="1"/>
    <cellStyle name="Hyperlink" xfId="12" builtinId="8" hidden="1"/>
    <cellStyle name="Hyperlink" xfId="38" builtinId="8" hidden="1"/>
    <cellStyle name="Normal" xfId="0" builtinId="0"/>
    <cellStyle name="Normal 2" xfId="1" xr:uid="{00000000-0005-0000-0000-000006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A9BF-AC5E-416E-B105-391CC8CCD05D}">
  <sheetPr>
    <pageSetUpPr fitToPage="1"/>
  </sheetPr>
  <dimension ref="A1:H48"/>
  <sheetViews>
    <sheetView tabSelected="1" view="pageBreakPreview" topLeftCell="A18" zoomScale="70" zoomScaleNormal="90" zoomScaleSheetLayoutView="70" workbookViewId="0">
      <selection activeCell="A30" sqref="A30"/>
    </sheetView>
  </sheetViews>
  <sheetFormatPr defaultColWidth="11.42578125" defaultRowHeight="16.5"/>
  <cols>
    <col min="1" max="1" width="6.7109375" style="3" customWidth="1"/>
    <col min="2" max="2" width="37" style="2" customWidth="1"/>
    <col min="3" max="3" width="50.28515625" style="2" customWidth="1"/>
    <col min="4" max="4" width="74.85546875" style="2" customWidth="1"/>
    <col min="5" max="5" width="23.28515625" style="2" bestFit="1" customWidth="1"/>
    <col min="6" max="6" width="14" style="2" customWidth="1"/>
    <col min="7" max="7" width="31.28515625" style="2" customWidth="1"/>
    <col min="8" max="8" width="69.28515625" style="2" customWidth="1"/>
    <col min="9" max="9" width="35.28515625" style="2" customWidth="1"/>
    <col min="10" max="10" width="11.42578125" style="2"/>
    <col min="11" max="11" width="33.42578125" style="2" customWidth="1"/>
    <col min="12" max="12" width="11.42578125" style="2"/>
    <col min="13" max="13" width="40" style="2" customWidth="1"/>
    <col min="14" max="16384" width="11.42578125" style="2"/>
  </cols>
  <sheetData>
    <row r="1" spans="1:8" s="19" customFormat="1" ht="33.75" customHeight="1">
      <c r="A1" s="155" t="s">
        <v>0</v>
      </c>
      <c r="B1" s="155"/>
      <c r="C1" s="155"/>
      <c r="D1" s="155"/>
      <c r="E1" s="155"/>
      <c r="F1" s="155"/>
      <c r="G1" s="155"/>
      <c r="H1" s="155"/>
    </row>
    <row r="2" spans="1:8" s="19" customFormat="1" ht="16.5" customHeight="1">
      <c r="A2" s="155"/>
      <c r="B2" s="155"/>
      <c r="C2" s="155"/>
      <c r="D2" s="155"/>
      <c r="E2" s="155"/>
      <c r="F2" s="155"/>
      <c r="G2" s="155"/>
      <c r="H2" s="155"/>
    </row>
    <row r="3" spans="1:8">
      <c r="A3" s="156" t="s">
        <v>1</v>
      </c>
      <c r="B3" s="156"/>
      <c r="C3" s="156"/>
      <c r="D3" s="156"/>
      <c r="E3" s="156"/>
      <c r="F3" s="156"/>
      <c r="G3" s="156"/>
      <c r="H3" s="156"/>
    </row>
    <row r="4" spans="1:8">
      <c r="A4" s="157" t="s">
        <v>2</v>
      </c>
      <c r="B4" s="157"/>
      <c r="C4" s="157"/>
      <c r="D4" s="157"/>
      <c r="E4" s="157"/>
      <c r="F4" s="157"/>
      <c r="G4" s="157"/>
      <c r="H4" s="157"/>
    </row>
    <row r="5" spans="1:8">
      <c r="A5" s="157" t="s">
        <v>3</v>
      </c>
      <c r="B5" s="157"/>
      <c r="C5" s="157"/>
      <c r="D5" s="157"/>
      <c r="E5" s="157"/>
      <c r="F5" s="157"/>
      <c r="G5" s="157"/>
      <c r="H5" s="157"/>
    </row>
    <row r="6" spans="1:8">
      <c r="G6" s="3"/>
      <c r="H6" s="3"/>
    </row>
    <row r="7" spans="1:8">
      <c r="A7" s="5"/>
      <c r="B7" s="4"/>
      <c r="C7" s="4"/>
      <c r="D7" s="21" t="s">
        <v>4</v>
      </c>
      <c r="E7" s="21" t="s">
        <v>5</v>
      </c>
      <c r="F7" s="21"/>
      <c r="G7" s="21"/>
      <c r="H7" s="6"/>
    </row>
    <row r="8" spans="1:8">
      <c r="A8" s="5">
        <v>1</v>
      </c>
      <c r="B8" s="159" t="s">
        <v>6</v>
      </c>
      <c r="C8" s="159"/>
      <c r="D8" s="1" t="s">
        <v>7</v>
      </c>
      <c r="E8" s="40" t="s">
        <v>8</v>
      </c>
      <c r="F8" s="40"/>
      <c r="G8" s="40"/>
      <c r="H8" s="7"/>
    </row>
    <row r="9" spans="1:8">
      <c r="A9" s="5">
        <v>2</v>
      </c>
      <c r="B9" s="159"/>
      <c r="C9" s="159"/>
      <c r="D9" s="1"/>
      <c r="E9" s="40" t="s">
        <v>8</v>
      </c>
      <c r="F9" s="40"/>
      <c r="G9" s="40"/>
      <c r="H9" s="7"/>
    </row>
    <row r="10" spans="1:8">
      <c r="A10" s="5">
        <v>3</v>
      </c>
      <c r="B10" s="159"/>
      <c r="C10" s="159"/>
      <c r="D10" s="1"/>
      <c r="E10" s="40"/>
      <c r="F10" s="40"/>
      <c r="G10" s="40"/>
      <c r="H10" s="7"/>
    </row>
    <row r="11" spans="1:8">
      <c r="A11" s="5">
        <v>4</v>
      </c>
      <c r="B11" s="159"/>
      <c r="C11" s="159"/>
      <c r="D11" s="1"/>
      <c r="E11" s="40"/>
      <c r="F11" s="40"/>
      <c r="G11" s="40"/>
      <c r="H11" s="7"/>
    </row>
    <row r="12" spans="1:8">
      <c r="A12" s="5"/>
      <c r="B12" s="4"/>
      <c r="C12" s="4"/>
      <c r="D12" s="1"/>
      <c r="E12" s="1"/>
      <c r="F12" s="5"/>
      <c r="G12" s="20"/>
      <c r="H12" s="7"/>
    </row>
    <row r="13" spans="1:8">
      <c r="F13" s="3"/>
      <c r="G13" s="3"/>
      <c r="H13" s="3"/>
    </row>
    <row r="14" spans="1:8">
      <c r="A14" s="158" t="s">
        <v>9</v>
      </c>
      <c r="B14" s="158"/>
      <c r="C14" s="158"/>
    </row>
    <row r="16" spans="1:8" ht="28.5">
      <c r="A16" s="8" t="s">
        <v>10</v>
      </c>
      <c r="B16" s="9" t="s">
        <v>11</v>
      </c>
      <c r="C16" s="10" t="s">
        <v>12</v>
      </c>
      <c r="D16" s="18" t="s">
        <v>13</v>
      </c>
      <c r="E16" s="18" t="s">
        <v>14</v>
      </c>
      <c r="F16" s="11" t="s">
        <v>15</v>
      </c>
      <c r="G16" s="22" t="s">
        <v>16</v>
      </c>
      <c r="H16" s="22" t="s">
        <v>17</v>
      </c>
    </row>
    <row r="17" spans="1:8" ht="58.5">
      <c r="A17" s="37" t="s">
        <v>18</v>
      </c>
      <c r="B17" s="16" t="s">
        <v>19</v>
      </c>
      <c r="C17" s="23" t="s">
        <v>20</v>
      </c>
      <c r="D17" s="146" t="s">
        <v>21</v>
      </c>
      <c r="E17" s="24"/>
      <c r="F17" s="69">
        <v>45839</v>
      </c>
      <c r="G17" s="16"/>
      <c r="H17" s="25" t="s">
        <v>22</v>
      </c>
    </row>
    <row r="18" spans="1:8" ht="73.5">
      <c r="A18" s="37" t="s">
        <v>23</v>
      </c>
      <c r="B18" s="24" t="s">
        <v>24</v>
      </c>
      <c r="C18" s="23" t="s">
        <v>25</v>
      </c>
      <c r="D18" s="147"/>
      <c r="E18" s="24"/>
      <c r="F18" s="69">
        <v>45839</v>
      </c>
      <c r="G18" s="16"/>
      <c r="H18" s="25" t="s">
        <v>22</v>
      </c>
    </row>
    <row r="19" spans="1:8" ht="73.5">
      <c r="A19" s="37" t="s">
        <v>26</v>
      </c>
      <c r="B19" s="26" t="s">
        <v>27</v>
      </c>
      <c r="C19" s="27" t="s">
        <v>28</v>
      </c>
      <c r="D19" s="147"/>
      <c r="E19" s="24"/>
      <c r="F19" s="69">
        <v>45839</v>
      </c>
      <c r="G19" s="28"/>
      <c r="H19" s="25" t="s">
        <v>22</v>
      </c>
    </row>
    <row r="20" spans="1:8" ht="73.5">
      <c r="A20" s="37" t="s">
        <v>29</v>
      </c>
      <c r="B20" s="29" t="s">
        <v>30</v>
      </c>
      <c r="C20" s="30" t="s">
        <v>31</v>
      </c>
      <c r="D20" s="147"/>
      <c r="E20" s="24"/>
      <c r="F20" s="69">
        <v>45839</v>
      </c>
      <c r="G20" s="32"/>
      <c r="H20" s="25" t="s">
        <v>22</v>
      </c>
    </row>
    <row r="21" spans="1:8" ht="44.25">
      <c r="A21" s="37" t="s">
        <v>32</v>
      </c>
      <c r="B21" s="29" t="s">
        <v>33</v>
      </c>
      <c r="C21" s="30" t="s">
        <v>34</v>
      </c>
      <c r="D21" s="147"/>
      <c r="E21" s="24"/>
      <c r="F21" s="69">
        <v>45839</v>
      </c>
      <c r="G21" s="32"/>
      <c r="H21" s="25" t="s">
        <v>22</v>
      </c>
    </row>
    <row r="22" spans="1:8" ht="73.5">
      <c r="A22" s="37" t="s">
        <v>35</v>
      </c>
      <c r="B22" s="29" t="s">
        <v>36</v>
      </c>
      <c r="C22" s="30" t="s">
        <v>37</v>
      </c>
      <c r="D22" s="147"/>
      <c r="E22" s="24"/>
      <c r="F22" s="69">
        <v>45839</v>
      </c>
      <c r="G22" s="32"/>
      <c r="H22" s="25" t="s">
        <v>22</v>
      </c>
    </row>
    <row r="23" spans="1:8">
      <c r="A23" s="37" t="s">
        <v>38</v>
      </c>
      <c r="B23" s="29"/>
      <c r="C23" s="30"/>
      <c r="D23" s="148"/>
      <c r="E23" s="24"/>
      <c r="F23" s="31"/>
      <c r="G23" s="32"/>
      <c r="H23" s="32"/>
    </row>
    <row r="25" spans="1:8">
      <c r="A25" s="144" t="s">
        <v>39</v>
      </c>
      <c r="B25" s="145"/>
      <c r="C25" s="145"/>
    </row>
    <row r="27" spans="1:8" ht="28.5">
      <c r="A27" s="8" t="s">
        <v>10</v>
      </c>
      <c r="B27" s="9" t="s">
        <v>11</v>
      </c>
      <c r="C27" s="10" t="s">
        <v>12</v>
      </c>
      <c r="D27" s="18" t="s">
        <v>13</v>
      </c>
      <c r="E27" s="18" t="s">
        <v>14</v>
      </c>
      <c r="F27" s="11" t="s">
        <v>15</v>
      </c>
      <c r="G27" s="22" t="s">
        <v>16</v>
      </c>
      <c r="H27" s="22" t="s">
        <v>17</v>
      </c>
    </row>
    <row r="28" spans="1:8" ht="30" customHeight="1">
      <c r="A28" s="14" t="s">
        <v>40</v>
      </c>
      <c r="B28" s="2" t="s">
        <v>41</v>
      </c>
      <c r="C28" s="13" t="s">
        <v>42</v>
      </c>
      <c r="D28" s="102" t="s">
        <v>43</v>
      </c>
      <c r="E28" s="13"/>
      <c r="F28" s="79">
        <v>45741</v>
      </c>
      <c r="G28" s="25"/>
      <c r="H28" s="25" t="s">
        <v>22</v>
      </c>
    </row>
    <row r="29" spans="1:8">
      <c r="A29" s="3" t="s">
        <v>44</v>
      </c>
      <c r="B29" s="13" t="s">
        <v>45</v>
      </c>
      <c r="C29" s="13" t="s">
        <v>46</v>
      </c>
      <c r="D29" s="14"/>
      <c r="E29" s="13"/>
      <c r="F29" s="79">
        <v>45772</v>
      </c>
      <c r="G29" s="13"/>
      <c r="H29" s="25" t="s">
        <v>22</v>
      </c>
    </row>
    <row r="30" spans="1:8" ht="30">
      <c r="A30" s="14" t="s">
        <v>47</v>
      </c>
      <c r="B30" s="13" t="s">
        <v>48</v>
      </c>
      <c r="C30" s="13" t="s">
        <v>49</v>
      </c>
      <c r="D30" s="103"/>
      <c r="E30" s="13"/>
      <c r="F30" s="79">
        <v>45777</v>
      </c>
      <c r="G30" s="13"/>
      <c r="H30" s="25" t="s">
        <v>22</v>
      </c>
    </row>
    <row r="31" spans="1:8" ht="30">
      <c r="A31" s="14" t="s">
        <v>50</v>
      </c>
      <c r="B31" s="13" t="s">
        <v>51</v>
      </c>
      <c r="C31" s="13" t="s">
        <v>52</v>
      </c>
      <c r="D31" s="103"/>
      <c r="E31" s="13"/>
      <c r="F31" s="79">
        <v>45838</v>
      </c>
      <c r="G31" s="13"/>
      <c r="H31" s="25" t="s">
        <v>22</v>
      </c>
    </row>
    <row r="32" spans="1:8">
      <c r="A32" s="14" t="s">
        <v>53</v>
      </c>
      <c r="B32" s="13" t="s">
        <v>54</v>
      </c>
      <c r="C32" s="13"/>
      <c r="D32" s="104"/>
      <c r="E32" s="13"/>
      <c r="F32" s="14"/>
      <c r="G32" s="13"/>
      <c r="H32" s="25" t="s">
        <v>22</v>
      </c>
    </row>
    <row r="34" spans="1:8">
      <c r="A34" s="144" t="s">
        <v>55</v>
      </c>
      <c r="B34" s="145"/>
      <c r="C34" s="145"/>
    </row>
    <row r="36" spans="1:8" ht="28.5">
      <c r="A36" s="8" t="s">
        <v>10</v>
      </c>
      <c r="B36" s="9" t="s">
        <v>11</v>
      </c>
      <c r="C36" s="10" t="s">
        <v>12</v>
      </c>
      <c r="D36" s="18" t="s">
        <v>13</v>
      </c>
      <c r="E36" s="18" t="s">
        <v>14</v>
      </c>
      <c r="F36" s="11" t="s">
        <v>15</v>
      </c>
      <c r="G36" s="22" t="s">
        <v>16</v>
      </c>
      <c r="H36" s="22" t="s">
        <v>17</v>
      </c>
    </row>
    <row r="37" spans="1:8">
      <c r="A37" s="14" t="s">
        <v>56</v>
      </c>
      <c r="B37" s="13"/>
      <c r="C37" s="13"/>
      <c r="D37" s="149"/>
      <c r="E37" s="16"/>
      <c r="F37" s="14"/>
      <c r="G37" s="16"/>
      <c r="H37" s="16"/>
    </row>
    <row r="38" spans="1:8">
      <c r="A38" s="14" t="s">
        <v>57</v>
      </c>
      <c r="B38" s="13"/>
      <c r="C38" s="13"/>
      <c r="D38" s="150"/>
      <c r="E38" s="16"/>
      <c r="F38" s="14"/>
      <c r="G38" s="16"/>
      <c r="H38" s="16"/>
    </row>
    <row r="39" spans="1:8">
      <c r="A39" s="14" t="s">
        <v>58</v>
      </c>
      <c r="B39" s="13"/>
      <c r="C39" s="13"/>
      <c r="D39" s="150"/>
      <c r="E39" s="16"/>
      <c r="F39" s="14"/>
      <c r="G39" s="13"/>
      <c r="H39" s="13"/>
    </row>
    <row r="40" spans="1:8">
      <c r="A40" s="14" t="s">
        <v>59</v>
      </c>
      <c r="B40" s="13"/>
      <c r="C40" s="13"/>
      <c r="D40" s="151"/>
      <c r="E40" s="16"/>
      <c r="F40" s="14"/>
      <c r="G40" s="13"/>
      <c r="H40" s="13"/>
    </row>
    <row r="42" spans="1:8">
      <c r="A42" s="158" t="s">
        <v>60</v>
      </c>
      <c r="B42" s="158"/>
      <c r="C42" s="158"/>
    </row>
    <row r="44" spans="1:8" ht="28.5">
      <c r="A44" s="8" t="s">
        <v>10</v>
      </c>
      <c r="B44" s="9" t="s">
        <v>11</v>
      </c>
      <c r="C44" s="10" t="s">
        <v>12</v>
      </c>
      <c r="D44" s="18" t="s">
        <v>13</v>
      </c>
      <c r="E44" s="18" t="s">
        <v>14</v>
      </c>
      <c r="F44" s="12" t="s">
        <v>15</v>
      </c>
      <c r="G44" s="22" t="s">
        <v>16</v>
      </c>
      <c r="H44" s="22" t="s">
        <v>17</v>
      </c>
    </row>
    <row r="45" spans="1:8">
      <c r="A45" s="38" t="s">
        <v>61</v>
      </c>
      <c r="B45" s="33"/>
      <c r="C45" s="33"/>
      <c r="D45" s="152"/>
      <c r="E45" s="41"/>
      <c r="F45" s="39"/>
      <c r="G45" s="16"/>
      <c r="H45" s="16"/>
    </row>
    <row r="46" spans="1:8">
      <c r="A46" s="38" t="s">
        <v>62</v>
      </c>
      <c r="B46" s="33"/>
      <c r="C46" s="33"/>
      <c r="D46" s="153"/>
      <c r="E46" s="33"/>
      <c r="F46" s="39"/>
      <c r="G46" s="13"/>
      <c r="H46" s="13"/>
    </row>
    <row r="47" spans="1:8" s="17" customFormat="1">
      <c r="A47" s="38" t="s">
        <v>63</v>
      </c>
      <c r="B47" s="34"/>
      <c r="C47" s="33"/>
      <c r="D47" s="153"/>
      <c r="E47" s="33"/>
      <c r="F47" s="39"/>
      <c r="G47" s="15"/>
      <c r="H47" s="15"/>
    </row>
    <row r="48" spans="1:8">
      <c r="A48" s="38" t="s">
        <v>64</v>
      </c>
      <c r="B48" s="35"/>
      <c r="C48" s="36"/>
      <c r="D48" s="154"/>
      <c r="E48" s="33"/>
      <c r="F48" s="39"/>
      <c r="G48" s="13"/>
      <c r="H48" s="13"/>
    </row>
  </sheetData>
  <mergeCells count="16">
    <mergeCell ref="A34:C34"/>
    <mergeCell ref="D17:D23"/>
    <mergeCell ref="D37:D40"/>
    <mergeCell ref="D45:D48"/>
    <mergeCell ref="A1:H1"/>
    <mergeCell ref="A3:H3"/>
    <mergeCell ref="A2:H2"/>
    <mergeCell ref="A4:H4"/>
    <mergeCell ref="A5:H5"/>
    <mergeCell ref="A14:C14"/>
    <mergeCell ref="B8:C8"/>
    <mergeCell ref="A42:C42"/>
    <mergeCell ref="B9:C9"/>
    <mergeCell ref="B10:C10"/>
    <mergeCell ref="B11:C11"/>
    <mergeCell ref="A25:C25"/>
  </mergeCells>
  <phoneticPr fontId="14" type="noConversion"/>
  <pageMargins left="0.11811023622047244" right="0.11811023622047244" top="0.15748031496062992" bottom="0.15748031496062992" header="0" footer="0"/>
  <pageSetup paperSize="8" scale="4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863B0-DBC3-4019-93C9-9F6998DA1ECF}">
  <dimension ref="A2:T22"/>
  <sheetViews>
    <sheetView zoomScale="70" zoomScaleNormal="70" workbookViewId="0">
      <selection activeCell="H3" sqref="H3:H7"/>
    </sheetView>
  </sheetViews>
  <sheetFormatPr defaultRowHeight="15"/>
  <cols>
    <col min="1" max="1" width="4.28515625" bestFit="1" customWidth="1"/>
    <col min="2" max="2" width="31" customWidth="1"/>
    <col min="3" max="3" width="48.5703125" customWidth="1"/>
    <col min="6" max="6" width="9.7109375" bestFit="1" customWidth="1"/>
    <col min="7" max="7" width="10.140625" bestFit="1" customWidth="1"/>
    <col min="8" max="8" width="13.140625" bestFit="1" customWidth="1"/>
  </cols>
  <sheetData>
    <row r="2" spans="1:20">
      <c r="A2" s="53" t="s">
        <v>10</v>
      </c>
      <c r="B2" s="53" t="s">
        <v>65</v>
      </c>
      <c r="C2" s="53" t="s">
        <v>66</v>
      </c>
      <c r="D2" s="53" t="s">
        <v>67</v>
      </c>
      <c r="E2" s="53" t="s">
        <v>68</v>
      </c>
      <c r="F2" s="53" t="s">
        <v>69</v>
      </c>
      <c r="G2" s="53" t="s">
        <v>70</v>
      </c>
      <c r="H2" s="53" t="s">
        <v>71</v>
      </c>
      <c r="I2" s="52" t="s">
        <v>72</v>
      </c>
      <c r="J2" s="52" t="s">
        <v>73</v>
      </c>
      <c r="K2" s="52" t="s">
        <v>74</v>
      </c>
      <c r="L2" s="52" t="s">
        <v>75</v>
      </c>
      <c r="M2" s="52" t="s">
        <v>76</v>
      </c>
      <c r="N2" s="52" t="s">
        <v>77</v>
      </c>
      <c r="O2" s="52" t="s">
        <v>78</v>
      </c>
      <c r="P2" s="52" t="s">
        <v>79</v>
      </c>
      <c r="Q2" s="52" t="s">
        <v>80</v>
      </c>
      <c r="R2" s="52" t="s">
        <v>81</v>
      </c>
      <c r="S2" s="52" t="s">
        <v>82</v>
      </c>
      <c r="T2" s="52" t="s">
        <v>83</v>
      </c>
    </row>
    <row r="3" spans="1:20" ht="24">
      <c r="A3" s="43" t="s">
        <v>18</v>
      </c>
      <c r="B3" s="44" t="s">
        <v>6</v>
      </c>
      <c r="C3" s="45" t="s">
        <v>19</v>
      </c>
      <c r="D3" s="70">
        <v>45809</v>
      </c>
      <c r="E3" s="71">
        <v>45839</v>
      </c>
      <c r="F3" s="42" t="s">
        <v>84</v>
      </c>
      <c r="G3" s="42"/>
      <c r="H3" s="42"/>
      <c r="I3" s="42"/>
      <c r="J3" s="42"/>
      <c r="K3" s="42"/>
      <c r="L3" s="42"/>
      <c r="M3" s="42"/>
      <c r="N3" s="42"/>
      <c r="O3" s="42"/>
      <c r="P3" s="42"/>
      <c r="Q3" s="42"/>
      <c r="R3" s="42"/>
      <c r="S3" s="42"/>
      <c r="T3" s="42"/>
    </row>
    <row r="4" spans="1:20" ht="24">
      <c r="A4" s="43" t="s">
        <v>23</v>
      </c>
      <c r="B4" s="44" t="s">
        <v>6</v>
      </c>
      <c r="C4" s="43" t="s">
        <v>24</v>
      </c>
      <c r="D4" s="70">
        <v>45809</v>
      </c>
      <c r="E4" s="71">
        <v>45839</v>
      </c>
      <c r="F4" s="42" t="s">
        <v>84</v>
      </c>
      <c r="G4" s="42"/>
      <c r="H4" s="42"/>
      <c r="I4" s="42"/>
      <c r="J4" s="42"/>
      <c r="K4" s="42"/>
      <c r="L4" s="42"/>
      <c r="M4" s="42"/>
      <c r="N4" s="42"/>
      <c r="O4" s="42"/>
      <c r="P4" s="42"/>
      <c r="Q4" s="42"/>
      <c r="R4" s="42"/>
      <c r="S4" s="42"/>
      <c r="T4" s="42"/>
    </row>
    <row r="5" spans="1:20" ht="24">
      <c r="A5" s="43" t="s">
        <v>26</v>
      </c>
      <c r="B5" s="44" t="s">
        <v>6</v>
      </c>
      <c r="C5" s="43" t="s">
        <v>27</v>
      </c>
      <c r="D5" s="70">
        <v>45809</v>
      </c>
      <c r="E5" s="71">
        <v>45839</v>
      </c>
      <c r="F5" s="42" t="s">
        <v>84</v>
      </c>
      <c r="G5" s="42"/>
      <c r="H5" s="42"/>
      <c r="I5" s="42"/>
      <c r="J5" s="42"/>
      <c r="K5" s="42"/>
      <c r="L5" s="42"/>
      <c r="M5" s="42"/>
      <c r="N5" s="42"/>
      <c r="O5" s="42"/>
      <c r="P5" s="42"/>
      <c r="Q5" s="42"/>
      <c r="R5" s="42"/>
      <c r="S5" s="42"/>
      <c r="T5" s="42"/>
    </row>
    <row r="6" spans="1:20" ht="24">
      <c r="A6" s="43" t="s">
        <v>29</v>
      </c>
      <c r="B6" s="44" t="s">
        <v>6</v>
      </c>
      <c r="C6" s="43" t="s">
        <v>30</v>
      </c>
      <c r="D6" s="70">
        <v>45809</v>
      </c>
      <c r="E6" s="71">
        <v>45839</v>
      </c>
      <c r="F6" s="42" t="s">
        <v>84</v>
      </c>
      <c r="G6" s="42"/>
      <c r="H6" s="42"/>
      <c r="I6" s="42"/>
      <c r="J6" s="42"/>
      <c r="K6" s="42"/>
      <c r="L6" s="42"/>
      <c r="M6" s="42"/>
      <c r="N6" s="42"/>
      <c r="O6" s="42"/>
      <c r="P6" s="42"/>
      <c r="Q6" s="42"/>
      <c r="R6" s="42"/>
      <c r="S6" s="42"/>
      <c r="T6" s="42"/>
    </row>
    <row r="7" spans="1:20" ht="24">
      <c r="A7" s="43" t="s">
        <v>32</v>
      </c>
      <c r="B7" s="44" t="s">
        <v>6</v>
      </c>
      <c r="C7" s="43" t="s">
        <v>33</v>
      </c>
      <c r="D7" s="70">
        <v>45809</v>
      </c>
      <c r="E7" s="71">
        <v>45839</v>
      </c>
      <c r="F7" s="42" t="s">
        <v>84</v>
      </c>
      <c r="G7" s="42"/>
      <c r="H7" s="42"/>
      <c r="I7" s="42"/>
      <c r="J7" s="42"/>
      <c r="K7" s="42"/>
      <c r="L7" s="42"/>
      <c r="M7" s="42"/>
      <c r="N7" s="42"/>
      <c r="O7" s="42"/>
      <c r="P7" s="42"/>
      <c r="Q7" s="42"/>
      <c r="R7" s="42"/>
      <c r="S7" s="42"/>
      <c r="T7" s="42"/>
    </row>
    <row r="8" spans="1:20" ht="24">
      <c r="A8" s="43" t="s">
        <v>35</v>
      </c>
      <c r="B8" s="44"/>
      <c r="C8" s="43"/>
      <c r="D8" s="42"/>
      <c r="E8" s="43"/>
      <c r="F8" s="42"/>
      <c r="G8" s="42"/>
      <c r="H8" s="42"/>
      <c r="I8" s="42"/>
      <c r="J8" s="42"/>
      <c r="K8" s="42"/>
      <c r="L8" s="42"/>
      <c r="M8" s="42"/>
      <c r="N8" s="42"/>
      <c r="O8" s="42"/>
      <c r="P8" s="42"/>
      <c r="Q8" s="42"/>
      <c r="R8" s="42"/>
      <c r="S8" s="42"/>
      <c r="T8" s="42"/>
    </row>
    <row r="9" spans="1:20" ht="24">
      <c r="A9" s="43" t="s">
        <v>38</v>
      </c>
      <c r="B9" s="44"/>
      <c r="C9" s="43"/>
      <c r="D9" s="42"/>
      <c r="E9" s="43"/>
      <c r="F9" s="42"/>
      <c r="G9" s="42"/>
      <c r="H9" s="42"/>
      <c r="I9" s="42"/>
      <c r="J9" s="42"/>
      <c r="K9" s="42"/>
      <c r="L9" s="42"/>
      <c r="M9" s="42"/>
      <c r="N9" s="42"/>
      <c r="O9" s="42"/>
      <c r="P9" s="42"/>
      <c r="Q9" s="42"/>
      <c r="R9" s="42"/>
      <c r="S9" s="42"/>
      <c r="T9" s="42"/>
    </row>
    <row r="10" spans="1:20" ht="24">
      <c r="A10" s="46" t="s">
        <v>40</v>
      </c>
      <c r="B10" s="47"/>
      <c r="C10" s="47"/>
      <c r="D10" s="48"/>
      <c r="E10" s="46"/>
      <c r="F10" s="48"/>
      <c r="G10" s="48"/>
      <c r="H10" s="48"/>
      <c r="I10" s="48"/>
      <c r="J10" s="48"/>
      <c r="K10" s="48"/>
      <c r="L10" s="48"/>
      <c r="M10" s="48"/>
      <c r="N10" s="48"/>
      <c r="O10" s="48"/>
      <c r="P10" s="48"/>
      <c r="Q10" s="48"/>
      <c r="R10" s="48"/>
      <c r="S10" s="48"/>
      <c r="T10" s="48"/>
    </row>
    <row r="11" spans="1:20" ht="24">
      <c r="A11" s="46" t="s">
        <v>44</v>
      </c>
      <c r="B11" s="47"/>
      <c r="C11" s="47"/>
      <c r="D11" s="42"/>
      <c r="E11" s="46"/>
      <c r="F11" s="42"/>
      <c r="G11" s="42"/>
      <c r="H11" s="42"/>
      <c r="I11" s="42"/>
      <c r="J11" s="42"/>
      <c r="K11" s="42"/>
      <c r="L11" s="42"/>
      <c r="M11" s="42"/>
      <c r="N11" s="42"/>
      <c r="O11" s="42"/>
      <c r="P11" s="42"/>
      <c r="Q11" s="42"/>
      <c r="R11" s="42"/>
      <c r="S11" s="42"/>
      <c r="T11" s="42"/>
    </row>
    <row r="12" spans="1:20" ht="24">
      <c r="A12" s="46" t="s">
        <v>47</v>
      </c>
      <c r="B12" s="47"/>
      <c r="C12" s="47"/>
      <c r="D12" s="42"/>
      <c r="E12" s="46"/>
      <c r="F12" s="42"/>
      <c r="G12" s="42"/>
      <c r="H12" s="42"/>
      <c r="I12" s="42"/>
      <c r="J12" s="42"/>
      <c r="K12" s="42"/>
      <c r="L12" s="42"/>
      <c r="M12" s="42"/>
      <c r="N12" s="42"/>
      <c r="O12" s="42"/>
      <c r="P12" s="42"/>
      <c r="Q12" s="42"/>
      <c r="R12" s="42"/>
      <c r="S12" s="42"/>
      <c r="T12" s="42"/>
    </row>
    <row r="13" spans="1:20" ht="24">
      <c r="A13" s="46" t="s">
        <v>50</v>
      </c>
      <c r="B13" s="47"/>
      <c r="C13" s="47"/>
      <c r="D13" s="42"/>
      <c r="E13" s="46"/>
      <c r="F13" s="42"/>
      <c r="G13" s="42"/>
      <c r="H13" s="42"/>
      <c r="I13" s="42"/>
      <c r="J13" s="42"/>
      <c r="K13" s="42"/>
      <c r="L13" s="42"/>
      <c r="M13" s="42"/>
      <c r="N13" s="42"/>
      <c r="O13" s="42"/>
      <c r="P13" s="42"/>
      <c r="Q13" s="42"/>
      <c r="R13" s="42"/>
      <c r="S13" s="42"/>
      <c r="T13" s="42"/>
    </row>
    <row r="14" spans="1:20" ht="24">
      <c r="A14" s="46" t="s">
        <v>53</v>
      </c>
      <c r="B14" s="47"/>
      <c r="C14" s="47"/>
      <c r="D14" s="42"/>
      <c r="E14" s="46"/>
      <c r="F14" s="42"/>
      <c r="G14" s="42"/>
      <c r="H14" s="42"/>
      <c r="I14" s="42"/>
      <c r="J14" s="42"/>
      <c r="K14" s="42"/>
      <c r="L14" s="42"/>
      <c r="M14" s="42"/>
      <c r="N14" s="42"/>
      <c r="O14" s="42"/>
      <c r="P14" s="42"/>
      <c r="Q14" s="42"/>
      <c r="R14" s="42"/>
      <c r="S14" s="42"/>
      <c r="T14" s="42"/>
    </row>
    <row r="15" spans="1:20" ht="24">
      <c r="A15" s="46" t="s">
        <v>56</v>
      </c>
      <c r="B15" s="42"/>
      <c r="C15" s="47"/>
      <c r="D15" s="42"/>
      <c r="E15" s="46"/>
      <c r="F15" s="42"/>
      <c r="G15" s="42"/>
      <c r="H15" s="42"/>
      <c r="I15" s="42"/>
      <c r="J15" s="42"/>
      <c r="K15" s="42"/>
      <c r="L15" s="42"/>
      <c r="M15" s="42"/>
      <c r="N15" s="42"/>
      <c r="O15" s="42"/>
      <c r="P15" s="42"/>
      <c r="Q15" s="42"/>
      <c r="R15" s="42"/>
      <c r="S15" s="42"/>
      <c r="T15" s="42"/>
    </row>
    <row r="16" spans="1:20" ht="24">
      <c r="A16" s="46" t="s">
        <v>57</v>
      </c>
      <c r="B16" s="42"/>
      <c r="C16" s="47"/>
      <c r="D16" s="42"/>
      <c r="E16" s="46"/>
      <c r="F16" s="42"/>
      <c r="G16" s="42"/>
      <c r="H16" s="42"/>
      <c r="I16" s="42"/>
      <c r="J16" s="42"/>
      <c r="K16" s="42"/>
      <c r="L16" s="42"/>
      <c r="M16" s="42"/>
      <c r="N16" s="42"/>
      <c r="O16" s="42"/>
      <c r="P16" s="42"/>
      <c r="Q16" s="42"/>
      <c r="R16" s="42"/>
      <c r="S16" s="42"/>
      <c r="T16" s="42"/>
    </row>
    <row r="17" spans="1:20" ht="24">
      <c r="A17" s="46" t="s">
        <v>58</v>
      </c>
      <c r="B17" s="42"/>
      <c r="C17" s="47"/>
      <c r="D17" s="42"/>
      <c r="E17" s="46"/>
      <c r="F17" s="42"/>
      <c r="G17" s="42"/>
      <c r="H17" s="42"/>
      <c r="I17" s="42"/>
      <c r="J17" s="42"/>
      <c r="K17" s="42"/>
      <c r="L17" s="42"/>
      <c r="M17" s="42"/>
      <c r="N17" s="42"/>
      <c r="O17" s="42"/>
      <c r="P17" s="42"/>
      <c r="Q17" s="42"/>
      <c r="R17" s="42"/>
      <c r="S17" s="42"/>
      <c r="T17" s="42"/>
    </row>
    <row r="18" spans="1:20" ht="24">
      <c r="A18" s="46" t="s">
        <v>59</v>
      </c>
      <c r="B18" s="42"/>
      <c r="C18" s="47"/>
      <c r="D18" s="42"/>
      <c r="E18" s="46"/>
      <c r="F18" s="42"/>
      <c r="G18" s="42"/>
      <c r="H18" s="42"/>
      <c r="I18" s="42"/>
      <c r="J18" s="42"/>
      <c r="K18" s="42"/>
      <c r="L18" s="42"/>
      <c r="M18" s="42"/>
      <c r="N18" s="42"/>
      <c r="O18" s="42"/>
      <c r="P18" s="42"/>
      <c r="Q18" s="42"/>
      <c r="R18" s="42"/>
      <c r="S18" s="42"/>
      <c r="T18" s="42"/>
    </row>
    <row r="19" spans="1:20" ht="24">
      <c r="A19" s="49" t="s">
        <v>61</v>
      </c>
      <c r="B19" s="42"/>
      <c r="C19" s="50"/>
      <c r="D19" s="42"/>
      <c r="E19" s="51"/>
      <c r="F19" s="42"/>
      <c r="G19" s="42"/>
      <c r="H19" s="42"/>
      <c r="I19" s="42"/>
      <c r="J19" s="42"/>
      <c r="K19" s="42"/>
      <c r="L19" s="42"/>
      <c r="M19" s="42"/>
      <c r="N19" s="42"/>
      <c r="O19" s="42"/>
      <c r="P19" s="42"/>
      <c r="Q19" s="42"/>
      <c r="R19" s="42"/>
      <c r="S19" s="42"/>
      <c r="T19" s="42"/>
    </row>
    <row r="20" spans="1:20" ht="24">
      <c r="A20" s="49" t="s">
        <v>62</v>
      </c>
      <c r="B20" s="42"/>
      <c r="C20" s="50"/>
      <c r="D20" s="42"/>
      <c r="E20" s="51"/>
      <c r="F20" s="42"/>
      <c r="G20" s="42"/>
      <c r="H20" s="42"/>
      <c r="I20" s="42"/>
      <c r="J20" s="42"/>
      <c r="K20" s="42"/>
      <c r="L20" s="42"/>
      <c r="M20" s="42"/>
      <c r="N20" s="42"/>
      <c r="O20" s="42"/>
      <c r="P20" s="42"/>
      <c r="Q20" s="42"/>
      <c r="R20" s="42"/>
      <c r="S20" s="42"/>
      <c r="T20" s="42"/>
    </row>
    <row r="21" spans="1:20" ht="24">
      <c r="A21" s="49" t="s">
        <v>63</v>
      </c>
      <c r="B21" s="42"/>
      <c r="C21" s="50"/>
      <c r="D21" s="42"/>
      <c r="E21" s="51"/>
      <c r="F21" s="42"/>
      <c r="G21" s="42"/>
      <c r="H21" s="42"/>
      <c r="I21" s="42"/>
      <c r="J21" s="42"/>
      <c r="K21" s="42"/>
      <c r="L21" s="42"/>
      <c r="M21" s="42"/>
      <c r="N21" s="42"/>
      <c r="O21" s="42"/>
      <c r="P21" s="42"/>
      <c r="Q21" s="42"/>
      <c r="R21" s="42"/>
      <c r="S21" s="42"/>
      <c r="T21" s="42"/>
    </row>
    <row r="22" spans="1:20" ht="24">
      <c r="A22" s="49" t="s">
        <v>64</v>
      </c>
      <c r="B22" s="42"/>
      <c r="C22" s="51"/>
      <c r="D22" s="42"/>
      <c r="E22" s="51"/>
      <c r="F22" s="42"/>
      <c r="G22" s="42"/>
      <c r="H22" s="42"/>
      <c r="I22" s="42"/>
      <c r="J22" s="42"/>
      <c r="K22" s="42"/>
      <c r="L22" s="42"/>
      <c r="M22" s="42"/>
      <c r="N22" s="42"/>
      <c r="O22" s="42"/>
      <c r="P22" s="42"/>
      <c r="Q22" s="42"/>
      <c r="R22" s="42"/>
      <c r="S22" s="42"/>
      <c r="T22" s="42"/>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B1A8-1367-416C-8570-5647EC96E15A}">
  <dimension ref="B1:J67"/>
  <sheetViews>
    <sheetView zoomScale="80" zoomScaleNormal="80" workbookViewId="0">
      <selection activeCell="E14" sqref="E14"/>
    </sheetView>
  </sheetViews>
  <sheetFormatPr defaultRowHeight="15"/>
  <cols>
    <col min="1" max="1" width="3.140625" customWidth="1"/>
    <col min="2" max="2" width="24" bestFit="1" customWidth="1"/>
    <col min="3" max="3" width="25.85546875" customWidth="1"/>
    <col min="4" max="4" width="26.7109375" customWidth="1"/>
    <col min="5" max="5" width="102.5703125" customWidth="1"/>
    <col min="6" max="6" width="26.5703125" style="72" bestFit="1" customWidth="1"/>
    <col min="7" max="7" width="16.85546875" style="72" customWidth="1"/>
    <col min="10" max="10" width="15.85546875" customWidth="1"/>
  </cols>
  <sheetData>
    <row r="1" spans="2:7" ht="15.4" customHeight="1">
      <c r="B1" s="73" t="s">
        <v>85</v>
      </c>
      <c r="C1" s="161">
        <v>2025</v>
      </c>
      <c r="D1" s="161"/>
    </row>
    <row r="2" spans="2:7" ht="15.4" customHeight="1">
      <c r="B2" s="73" t="s">
        <v>86</v>
      </c>
      <c r="C2" s="161" t="s">
        <v>87</v>
      </c>
      <c r="D2" s="161"/>
    </row>
    <row r="3" spans="2:7" ht="15.4" customHeight="1">
      <c r="B3" s="74" t="s">
        <v>88</v>
      </c>
      <c r="C3" s="137" t="s">
        <v>89</v>
      </c>
      <c r="D3" s="137"/>
      <c r="E3" s="54" t="s">
        <v>90</v>
      </c>
    </row>
    <row r="4" spans="2:7" ht="15.4" customHeight="1">
      <c r="B4" s="135" t="s">
        <v>91</v>
      </c>
      <c r="C4" s="134" t="s">
        <v>92</v>
      </c>
      <c r="D4" s="134"/>
      <c r="E4" s="54" t="s">
        <v>90</v>
      </c>
    </row>
    <row r="5" spans="2:7" ht="15.4" customHeight="1">
      <c r="B5" s="136" t="s">
        <v>93</v>
      </c>
      <c r="C5" s="116"/>
      <c r="D5" s="116"/>
      <c r="E5" s="54" t="s">
        <v>90</v>
      </c>
    </row>
    <row r="6" spans="2:7" ht="15.4" customHeight="1">
      <c r="B6" s="105" t="s">
        <v>94</v>
      </c>
      <c r="C6" s="162"/>
      <c r="D6" s="162"/>
    </row>
    <row r="7" spans="2:7" ht="15.4" customHeight="1">
      <c r="B7" s="105" t="s">
        <v>95</v>
      </c>
      <c r="C7" s="134"/>
      <c r="D7" s="134"/>
    </row>
    <row r="8" spans="2:7" ht="15.4" customHeight="1">
      <c r="B8" s="73" t="s">
        <v>96</v>
      </c>
      <c r="C8" s="138" t="s">
        <v>97</v>
      </c>
      <c r="D8" s="138"/>
    </row>
    <row r="9" spans="2:7" ht="20.25" customHeight="1">
      <c r="B9" s="73" t="s">
        <v>98</v>
      </c>
      <c r="C9" s="73"/>
      <c r="D9" s="73"/>
    </row>
    <row r="10" spans="2:7">
      <c r="B10" s="167"/>
      <c r="C10" s="167"/>
      <c r="D10" s="167"/>
      <c r="E10" s="167"/>
    </row>
    <row r="11" spans="2:7">
      <c r="B11" s="125"/>
      <c r="C11" s="125"/>
      <c r="D11" s="125"/>
      <c r="E11" s="125"/>
    </row>
    <row r="12" spans="2:7">
      <c r="B12" s="125"/>
      <c r="C12" s="125"/>
      <c r="D12" s="125"/>
      <c r="E12" s="125"/>
    </row>
    <row r="13" spans="2:7" ht="21.4" customHeight="1">
      <c r="B13" s="83" t="s">
        <v>99</v>
      </c>
      <c r="C13" s="83" t="s">
        <v>100</v>
      </c>
      <c r="D13" s="117" t="s">
        <v>101</v>
      </c>
      <c r="E13" s="114" t="s">
        <v>102</v>
      </c>
      <c r="F13" s="107"/>
      <c r="G13" s="126"/>
    </row>
    <row r="14" spans="2:7" ht="21.4" customHeight="1">
      <c r="B14" s="84" t="s">
        <v>103</v>
      </c>
      <c r="C14" s="85">
        <v>45719</v>
      </c>
      <c r="D14" s="118">
        <v>4</v>
      </c>
      <c r="E14" s="86" t="s">
        <v>104</v>
      </c>
      <c r="F14" s="108"/>
      <c r="G14" s="127"/>
    </row>
    <row r="15" spans="2:7" ht="21.4" customHeight="1">
      <c r="B15" s="84" t="s">
        <v>105</v>
      </c>
      <c r="C15" s="85">
        <v>45750</v>
      </c>
      <c r="D15" s="118">
        <v>4</v>
      </c>
      <c r="E15" s="86" t="s">
        <v>106</v>
      </c>
      <c r="F15" s="108"/>
      <c r="G15" s="127"/>
    </row>
    <row r="16" spans="2:7" ht="44.25" customHeight="1">
      <c r="B16" s="84" t="s">
        <v>105</v>
      </c>
      <c r="C16" s="85">
        <v>45964</v>
      </c>
      <c r="D16" s="118">
        <v>5</v>
      </c>
      <c r="E16" s="87" t="s">
        <v>107</v>
      </c>
      <c r="F16" s="109"/>
      <c r="G16" s="128"/>
    </row>
    <row r="17" spans="2:7" ht="43.5" customHeight="1">
      <c r="B17" s="84" t="s">
        <v>108</v>
      </c>
      <c r="C17" s="85">
        <v>45994</v>
      </c>
      <c r="D17" s="118">
        <v>3</v>
      </c>
      <c r="E17" s="87" t="s">
        <v>109</v>
      </c>
      <c r="F17" s="109"/>
      <c r="G17" s="128"/>
    </row>
    <row r="18" spans="2:7" ht="21.4" customHeight="1">
      <c r="B18" s="84" t="s">
        <v>110</v>
      </c>
      <c r="C18" s="84" t="s">
        <v>111</v>
      </c>
      <c r="D18" s="118">
        <v>3.5</v>
      </c>
      <c r="E18" s="86" t="s">
        <v>112</v>
      </c>
      <c r="F18" s="108"/>
      <c r="G18" s="127"/>
    </row>
    <row r="19" spans="2:7" ht="21.4" customHeight="1">
      <c r="B19" s="88" t="s">
        <v>105</v>
      </c>
      <c r="C19" s="89">
        <v>45661</v>
      </c>
      <c r="D19" s="119">
        <v>2</v>
      </c>
      <c r="E19" s="86" t="s">
        <v>113</v>
      </c>
      <c r="F19" s="108"/>
      <c r="G19" s="127"/>
    </row>
    <row r="20" spans="2:7" ht="21.4" customHeight="1">
      <c r="B20" s="90" t="s">
        <v>105</v>
      </c>
      <c r="C20" s="91">
        <v>45873</v>
      </c>
      <c r="D20" s="120">
        <v>2</v>
      </c>
      <c r="E20" s="92" t="s">
        <v>114</v>
      </c>
      <c r="F20" s="110"/>
      <c r="G20" s="129"/>
    </row>
    <row r="21" spans="2:7" ht="21.4" customHeight="1">
      <c r="B21" s="93" t="s">
        <v>105</v>
      </c>
      <c r="C21" s="94" t="s">
        <v>115</v>
      </c>
      <c r="D21" s="121">
        <v>3</v>
      </c>
      <c r="E21" s="92" t="s">
        <v>116</v>
      </c>
      <c r="F21" s="110"/>
      <c r="G21" s="129"/>
    </row>
    <row r="22" spans="2:7" ht="21.4" customHeight="1">
      <c r="B22" s="93" t="s">
        <v>108</v>
      </c>
      <c r="C22" s="94" t="s">
        <v>117</v>
      </c>
      <c r="D22" s="121">
        <v>2</v>
      </c>
      <c r="E22" s="92" t="s">
        <v>116</v>
      </c>
      <c r="F22" s="110"/>
      <c r="G22" s="129"/>
    </row>
    <row r="23" spans="2:7" ht="21.4" customHeight="1">
      <c r="B23" s="95" t="s">
        <v>118</v>
      </c>
      <c r="C23" s="95" t="s">
        <v>119</v>
      </c>
      <c r="D23" s="122">
        <v>2</v>
      </c>
      <c r="E23" s="115" t="s">
        <v>120</v>
      </c>
      <c r="F23" s="111"/>
      <c r="G23" s="130"/>
    </row>
    <row r="24" spans="2:7">
      <c r="B24" s="96" t="s">
        <v>110</v>
      </c>
      <c r="C24" s="97">
        <v>45807</v>
      </c>
      <c r="D24" s="101">
        <v>4</v>
      </c>
      <c r="E24" s="92" t="s">
        <v>121</v>
      </c>
      <c r="F24" s="110"/>
      <c r="G24" s="129"/>
    </row>
    <row r="25" spans="2:7">
      <c r="B25" s="82" t="str">
        <f t="shared" ref="B25:B60" si="0">IF(C25="","",TEXT(C25,"ddd"))</f>
        <v>Tue</v>
      </c>
      <c r="C25" s="98">
        <v>45811</v>
      </c>
      <c r="D25" s="100">
        <v>4</v>
      </c>
      <c r="E25" s="92" t="s">
        <v>122</v>
      </c>
      <c r="F25" s="110"/>
      <c r="G25" s="129"/>
    </row>
    <row r="26" spans="2:7">
      <c r="B26" s="82" t="str">
        <f t="shared" si="0"/>
        <v>Wed</v>
      </c>
      <c r="C26" s="98">
        <v>45812</v>
      </c>
      <c r="D26" s="100">
        <v>4</v>
      </c>
      <c r="E26" s="92" t="s">
        <v>123</v>
      </c>
      <c r="F26" s="110"/>
      <c r="G26" s="129"/>
    </row>
    <row r="27" spans="2:7">
      <c r="B27" s="82" t="str">
        <f t="shared" si="0"/>
        <v>Thu</v>
      </c>
      <c r="C27" s="98">
        <v>45813</v>
      </c>
      <c r="D27" s="100">
        <v>4</v>
      </c>
      <c r="E27" s="92" t="s">
        <v>124</v>
      </c>
      <c r="F27" s="110"/>
      <c r="G27" s="129"/>
    </row>
    <row r="28" spans="2:7">
      <c r="B28" s="82" t="str">
        <f t="shared" si="0"/>
        <v>Fri</v>
      </c>
      <c r="C28" s="98">
        <v>45814</v>
      </c>
      <c r="D28" s="100">
        <v>5</v>
      </c>
      <c r="E28" s="92" t="s">
        <v>125</v>
      </c>
      <c r="F28" s="110"/>
      <c r="G28" s="129"/>
    </row>
    <row r="29" spans="2:7">
      <c r="B29" s="82" t="str">
        <f t="shared" si="0"/>
        <v>Mon</v>
      </c>
      <c r="C29" s="98">
        <v>45817</v>
      </c>
      <c r="D29" s="100">
        <v>2</v>
      </c>
      <c r="E29" s="92" t="s">
        <v>126</v>
      </c>
      <c r="F29" s="110"/>
      <c r="G29" s="129"/>
    </row>
    <row r="30" spans="2:7">
      <c r="B30" s="82" t="str">
        <f t="shared" si="0"/>
        <v>Tue</v>
      </c>
      <c r="C30" s="98">
        <v>45818</v>
      </c>
      <c r="D30" s="100">
        <v>3</v>
      </c>
      <c r="E30" s="92" t="s">
        <v>127</v>
      </c>
      <c r="F30" s="110"/>
      <c r="G30" s="129"/>
    </row>
    <row r="31" spans="2:7">
      <c r="B31" s="82" t="s">
        <v>110</v>
      </c>
      <c r="C31" s="98" t="s">
        <v>128</v>
      </c>
      <c r="D31" s="100">
        <v>2</v>
      </c>
      <c r="E31" s="92" t="s">
        <v>129</v>
      </c>
      <c r="F31" s="110"/>
      <c r="G31" s="129"/>
    </row>
    <row r="32" spans="2:7">
      <c r="B32" s="82" t="s">
        <v>103</v>
      </c>
      <c r="C32" s="98" t="s">
        <v>130</v>
      </c>
      <c r="D32" s="100">
        <v>2</v>
      </c>
      <c r="E32" s="124" t="s">
        <v>131</v>
      </c>
      <c r="F32" s="129"/>
      <c r="G32" s="129"/>
    </row>
    <row r="33" spans="2:7">
      <c r="B33" s="82" t="str">
        <f t="shared" si="0"/>
        <v/>
      </c>
      <c r="C33" s="98"/>
      <c r="D33" s="99"/>
      <c r="E33" s="90"/>
      <c r="F33" s="112"/>
      <c r="G33" s="112"/>
    </row>
    <row r="34" spans="2:7">
      <c r="B34" s="82" t="str">
        <f t="shared" si="0"/>
        <v/>
      </c>
      <c r="C34" s="98"/>
      <c r="D34" s="99"/>
      <c r="E34" s="90"/>
      <c r="F34" s="112"/>
      <c r="G34" s="112"/>
    </row>
    <row r="35" spans="2:7">
      <c r="B35" s="82" t="str">
        <f t="shared" si="0"/>
        <v/>
      </c>
      <c r="C35" s="98"/>
      <c r="D35" s="99"/>
      <c r="E35" s="90"/>
      <c r="F35" s="112"/>
      <c r="G35" s="112"/>
    </row>
    <row r="36" spans="2:7">
      <c r="B36" s="82" t="str">
        <f t="shared" si="0"/>
        <v/>
      </c>
      <c r="C36" s="98"/>
      <c r="D36" s="99"/>
      <c r="E36" s="90"/>
      <c r="F36" s="112"/>
      <c r="G36" s="112"/>
    </row>
    <row r="37" spans="2:7">
      <c r="B37" s="82" t="str">
        <f t="shared" si="0"/>
        <v/>
      </c>
      <c r="C37" s="98"/>
      <c r="D37" s="99"/>
      <c r="E37" s="90"/>
      <c r="F37" s="112"/>
      <c r="G37" s="112"/>
    </row>
    <row r="38" spans="2:7">
      <c r="B38" s="82" t="str">
        <f t="shared" si="0"/>
        <v/>
      </c>
      <c r="C38" s="98"/>
      <c r="D38" s="99"/>
      <c r="E38" s="90"/>
      <c r="F38" s="112"/>
      <c r="G38" s="112"/>
    </row>
    <row r="39" spans="2:7">
      <c r="B39" s="55"/>
      <c r="C39" s="56"/>
      <c r="D39" s="57"/>
      <c r="E39" s="116"/>
    </row>
    <row r="40" spans="2:7">
      <c r="B40" s="55" t="str">
        <f t="shared" si="0"/>
        <v/>
      </c>
      <c r="C40" s="56"/>
      <c r="D40" s="57"/>
      <c r="E40" s="116"/>
    </row>
    <row r="41" spans="2:7">
      <c r="B41" s="55" t="str">
        <f t="shared" si="0"/>
        <v/>
      </c>
      <c r="C41" s="56"/>
      <c r="D41" s="57"/>
      <c r="E41" s="116"/>
    </row>
    <row r="42" spans="2:7">
      <c r="B42" s="55" t="str">
        <f t="shared" si="0"/>
        <v/>
      </c>
      <c r="C42" s="56"/>
      <c r="D42" s="57"/>
      <c r="E42" s="116"/>
    </row>
    <row r="43" spans="2:7">
      <c r="B43" s="55" t="str">
        <f t="shared" si="0"/>
        <v/>
      </c>
      <c r="C43" s="56"/>
      <c r="D43" s="57"/>
      <c r="E43" s="116"/>
    </row>
    <row r="44" spans="2:7">
      <c r="B44" s="55" t="str">
        <f t="shared" si="0"/>
        <v/>
      </c>
      <c r="C44" s="56"/>
      <c r="D44" s="57"/>
      <c r="E44" s="116"/>
    </row>
    <row r="45" spans="2:7">
      <c r="B45" s="55" t="str">
        <f t="shared" si="0"/>
        <v/>
      </c>
      <c r="C45" s="56"/>
      <c r="D45" s="57"/>
      <c r="E45" s="116"/>
    </row>
    <row r="46" spans="2:7">
      <c r="B46" s="55" t="str">
        <f t="shared" si="0"/>
        <v/>
      </c>
      <c r="C46" s="56"/>
      <c r="D46" s="57"/>
      <c r="E46" s="116"/>
    </row>
    <row r="47" spans="2:7">
      <c r="B47" s="55" t="str">
        <f t="shared" si="0"/>
        <v/>
      </c>
      <c r="C47" s="56"/>
      <c r="D47" s="57"/>
      <c r="E47" s="116"/>
    </row>
    <row r="48" spans="2:7">
      <c r="B48" s="55" t="str">
        <f t="shared" si="0"/>
        <v/>
      </c>
      <c r="C48" s="56"/>
      <c r="D48" s="57"/>
      <c r="E48" s="116"/>
    </row>
    <row r="49" spans="2:7">
      <c r="B49" s="55" t="str">
        <f t="shared" si="0"/>
        <v/>
      </c>
      <c r="C49" s="56"/>
      <c r="D49" s="57"/>
      <c r="E49" s="116"/>
    </row>
    <row r="50" spans="2:7">
      <c r="B50" s="55" t="str">
        <f t="shared" si="0"/>
        <v/>
      </c>
      <c r="C50" s="56"/>
      <c r="D50" s="57"/>
      <c r="E50" s="116"/>
    </row>
    <row r="51" spans="2:7">
      <c r="B51" s="55" t="str">
        <f t="shared" si="0"/>
        <v/>
      </c>
      <c r="C51" s="56"/>
      <c r="D51" s="57"/>
      <c r="E51" s="116"/>
    </row>
    <row r="52" spans="2:7">
      <c r="B52" s="55" t="str">
        <f t="shared" si="0"/>
        <v/>
      </c>
      <c r="C52" s="56"/>
      <c r="D52" s="57"/>
      <c r="E52" s="116"/>
    </row>
    <row r="53" spans="2:7">
      <c r="B53" s="55" t="str">
        <f t="shared" si="0"/>
        <v/>
      </c>
      <c r="C53" s="56"/>
      <c r="D53" s="57"/>
      <c r="E53" s="116"/>
    </row>
    <row r="54" spans="2:7">
      <c r="B54" s="55" t="str">
        <f t="shared" si="0"/>
        <v/>
      </c>
      <c r="C54" s="56"/>
      <c r="D54" s="57"/>
      <c r="E54" s="116"/>
    </row>
    <row r="55" spans="2:7">
      <c r="B55" s="55" t="str">
        <f t="shared" si="0"/>
        <v/>
      </c>
      <c r="C55" s="56"/>
      <c r="D55" s="57"/>
      <c r="E55" s="116"/>
    </row>
    <row r="56" spans="2:7">
      <c r="B56" s="55" t="str">
        <f t="shared" si="0"/>
        <v/>
      </c>
      <c r="C56" s="56"/>
      <c r="D56" s="57"/>
      <c r="E56" s="116"/>
    </row>
    <row r="57" spans="2:7">
      <c r="B57" s="55" t="str">
        <f t="shared" si="0"/>
        <v/>
      </c>
      <c r="C57" s="56"/>
      <c r="D57" s="57"/>
      <c r="E57" s="116"/>
    </row>
    <row r="58" spans="2:7">
      <c r="B58" s="55" t="str">
        <f t="shared" si="0"/>
        <v/>
      </c>
      <c r="C58" s="56"/>
      <c r="D58" s="57"/>
      <c r="E58" s="116"/>
    </row>
    <row r="59" spans="2:7">
      <c r="B59" s="55" t="str">
        <f t="shared" si="0"/>
        <v/>
      </c>
      <c r="C59" s="56"/>
      <c r="D59" s="57"/>
      <c r="E59" s="116"/>
    </row>
    <row r="60" spans="2:7">
      <c r="B60" s="55" t="str">
        <f t="shared" si="0"/>
        <v/>
      </c>
      <c r="C60" s="56"/>
      <c r="D60" s="57"/>
      <c r="E60" s="116"/>
    </row>
    <row r="61" spans="2:7">
      <c r="B61" s="58"/>
      <c r="C61" s="59"/>
      <c r="D61" s="123"/>
      <c r="E61" s="116"/>
    </row>
    <row r="62" spans="2:7">
      <c r="B62" s="168" t="s">
        <v>132</v>
      </c>
      <c r="C62" s="169"/>
      <c r="D62" s="80">
        <f>SUM(D24:D61)</f>
        <v>30</v>
      </c>
    </row>
    <row r="64" spans="2:7" ht="15.75">
      <c r="B64" s="63"/>
      <c r="C64" s="66"/>
      <c r="D64" s="66"/>
      <c r="E64" s="66"/>
      <c r="F64" s="131"/>
      <c r="G64" s="131"/>
    </row>
    <row r="65" spans="2:10" ht="13.5" customHeight="1"/>
    <row r="66" spans="2:10" ht="30" customHeight="1">
      <c r="B66" s="75" t="s">
        <v>133</v>
      </c>
      <c r="C66" s="68"/>
      <c r="D66" s="113" t="s">
        <v>134</v>
      </c>
      <c r="E66" s="133"/>
      <c r="F66" s="132"/>
      <c r="G66" s="132"/>
      <c r="H66" s="160"/>
      <c r="I66" s="160"/>
      <c r="J66" s="160"/>
    </row>
    <row r="67" spans="2:10" ht="35.25" customHeight="1">
      <c r="B67" s="75" t="s">
        <v>135</v>
      </c>
      <c r="C67" s="68"/>
      <c r="D67" s="113" t="s">
        <v>135</v>
      </c>
      <c r="E67" s="133"/>
      <c r="F67" s="132"/>
      <c r="G67" s="132"/>
      <c r="H67" s="160"/>
      <c r="I67" s="160"/>
      <c r="J67" s="160"/>
    </row>
  </sheetData>
  <mergeCells count="7">
    <mergeCell ref="B10:E10"/>
    <mergeCell ref="B62:C62"/>
    <mergeCell ref="H66:J66"/>
    <mergeCell ref="H67:J67"/>
    <mergeCell ref="C1:D1"/>
    <mergeCell ref="C2:D2"/>
    <mergeCell ref="C6:D6"/>
  </mergeCells>
  <conditionalFormatting sqref="B24:B61">
    <cfRule type="containsText" dxfId="5" priority="1" operator="containsText" text="S">
      <formula>NOT(ISERROR(SEARCH("S",B24)))</formula>
    </cfRule>
    <cfRule type="containsText" dxfId="4" priority="2" operator="containsText" text="&quot;Sat&quot;">
      <formula>NOT(ISERROR(SEARCH("""Sat""",B24)))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6C2C-A4F6-4173-8F00-131A1E142E23}">
  <dimension ref="B1:I54"/>
  <sheetViews>
    <sheetView workbookViewId="0">
      <selection activeCell="E5" sqref="E5"/>
    </sheetView>
  </sheetViews>
  <sheetFormatPr defaultRowHeight="15"/>
  <cols>
    <col min="1" max="1" width="3.140625" customWidth="1"/>
    <col min="2" max="2" width="24" style="61" bestFit="1" customWidth="1"/>
    <col min="3" max="3" width="25.28515625" customWidth="1"/>
    <col min="4" max="4" width="29.42578125" customWidth="1"/>
    <col min="5" max="5" width="106.85546875" customWidth="1"/>
    <col min="6" max="6" width="111.7109375" bestFit="1" customWidth="1"/>
    <col min="9" max="9" width="15.85546875" customWidth="1"/>
  </cols>
  <sheetData>
    <row r="1" spans="2:6" ht="15.4" customHeight="1">
      <c r="B1" s="73" t="s">
        <v>85</v>
      </c>
      <c r="C1" s="161">
        <v>2025</v>
      </c>
      <c r="D1" s="161"/>
    </row>
    <row r="2" spans="2:6" ht="15.4" customHeight="1">
      <c r="B2" s="73" t="s">
        <v>86</v>
      </c>
      <c r="C2" s="161" t="s">
        <v>87</v>
      </c>
      <c r="D2" s="161"/>
    </row>
    <row r="3" spans="2:6" ht="15.4" customHeight="1">
      <c r="B3" s="74" t="s">
        <v>88</v>
      </c>
      <c r="C3" s="137" t="s">
        <v>89</v>
      </c>
      <c r="D3" s="137"/>
      <c r="E3" s="54" t="s">
        <v>90</v>
      </c>
    </row>
    <row r="4" spans="2:6" ht="15.4" customHeight="1">
      <c r="B4" s="135" t="s">
        <v>91</v>
      </c>
      <c r="C4" s="134" t="s">
        <v>92</v>
      </c>
      <c r="D4" s="134"/>
      <c r="E4" s="54" t="s">
        <v>90</v>
      </c>
    </row>
    <row r="5" spans="2:6" ht="15.4" customHeight="1">
      <c r="B5" s="136" t="s">
        <v>93</v>
      </c>
      <c r="C5" s="116"/>
      <c r="D5" s="116"/>
      <c r="E5" s="54" t="s">
        <v>90</v>
      </c>
    </row>
    <row r="6" spans="2:6" ht="15.4" customHeight="1">
      <c r="B6" s="105" t="s">
        <v>94</v>
      </c>
      <c r="C6" s="162"/>
      <c r="D6" s="162"/>
    </row>
    <row r="7" spans="2:6" ht="15.4" customHeight="1">
      <c r="B7" s="105" t="s">
        <v>95</v>
      </c>
      <c r="C7" s="134"/>
      <c r="D7" s="134"/>
    </row>
    <row r="8" spans="2:6" ht="15.4" customHeight="1">
      <c r="B8" s="73" t="s">
        <v>96</v>
      </c>
      <c r="C8" s="138" t="s">
        <v>97</v>
      </c>
      <c r="D8" s="138"/>
    </row>
    <row r="9" spans="2:6" ht="39.75" customHeight="1">
      <c r="B9" s="73" t="s">
        <v>98</v>
      </c>
      <c r="C9" s="73"/>
      <c r="D9" s="73"/>
    </row>
    <row r="10" spans="2:6">
      <c r="B10" s="163"/>
      <c r="C10" s="163"/>
      <c r="D10" s="163"/>
      <c r="E10" s="164"/>
    </row>
    <row r="11" spans="2:6" ht="21.4" customHeight="1">
      <c r="B11" s="81" t="s">
        <v>99</v>
      </c>
      <c r="C11" s="81" t="s">
        <v>100</v>
      </c>
      <c r="D11" s="106" t="s">
        <v>101</v>
      </c>
      <c r="E11" s="140" t="s">
        <v>102</v>
      </c>
      <c r="F11" s="126"/>
    </row>
    <row r="12" spans="2:6">
      <c r="B12" s="82" t="s">
        <v>136</v>
      </c>
      <c r="C12" s="98">
        <v>45821</v>
      </c>
      <c r="D12" s="100">
        <v>3</v>
      </c>
      <c r="E12" s="90" t="s">
        <v>137</v>
      </c>
      <c r="F12" s="139"/>
    </row>
    <row r="13" spans="2:6">
      <c r="B13" s="82">
        <v>45825</v>
      </c>
      <c r="C13" s="98">
        <v>45832</v>
      </c>
      <c r="D13" s="100">
        <v>2</v>
      </c>
      <c r="E13" s="90" t="s">
        <v>138</v>
      </c>
      <c r="F13" s="139"/>
    </row>
    <row r="14" spans="2:6">
      <c r="B14" s="82">
        <v>45827</v>
      </c>
      <c r="C14" s="98">
        <v>45827</v>
      </c>
      <c r="D14" s="100">
        <v>2</v>
      </c>
      <c r="E14" s="93" t="s">
        <v>138</v>
      </c>
      <c r="F14" s="139"/>
    </row>
    <row r="15" spans="2:6">
      <c r="B15" s="82">
        <v>45828</v>
      </c>
      <c r="C15" s="98">
        <v>45828</v>
      </c>
      <c r="D15" s="100">
        <v>2</v>
      </c>
      <c r="E15" s="90" t="s">
        <v>138</v>
      </c>
      <c r="F15" s="139"/>
    </row>
    <row r="16" spans="2:6">
      <c r="B16" s="82" t="s">
        <v>139</v>
      </c>
      <c r="C16" s="98">
        <v>45831</v>
      </c>
      <c r="D16" s="99">
        <v>2</v>
      </c>
      <c r="E16" s="90" t="s">
        <v>140</v>
      </c>
      <c r="F16" s="139"/>
    </row>
    <row r="17" spans="2:6">
      <c r="B17" s="82">
        <v>45833</v>
      </c>
      <c r="C17" s="98">
        <v>45833</v>
      </c>
      <c r="D17" s="99">
        <v>4</v>
      </c>
      <c r="E17" s="90" t="s">
        <v>138</v>
      </c>
      <c r="F17" s="139"/>
    </row>
    <row r="18" spans="2:6">
      <c r="B18" s="82" t="s">
        <v>141</v>
      </c>
      <c r="C18" s="98">
        <v>45834</v>
      </c>
      <c r="D18" s="99">
        <v>2</v>
      </c>
      <c r="E18" s="90" t="s">
        <v>142</v>
      </c>
      <c r="F18" s="139"/>
    </row>
    <row r="19" spans="2:6">
      <c r="B19" s="82" t="str">
        <f t="shared" ref="B19:B47" si="0">IF(C19="","",TEXT(C19,"ddd"))</f>
        <v/>
      </c>
      <c r="C19" s="98"/>
      <c r="D19" s="99"/>
      <c r="E19" s="90"/>
      <c r="F19" s="139"/>
    </row>
    <row r="20" spans="2:6">
      <c r="B20" s="82" t="str">
        <f t="shared" si="0"/>
        <v/>
      </c>
      <c r="C20" s="98"/>
      <c r="D20" s="99"/>
      <c r="E20" s="90"/>
      <c r="F20" s="139"/>
    </row>
    <row r="21" spans="2:6">
      <c r="B21" s="82" t="str">
        <f t="shared" si="0"/>
        <v/>
      </c>
      <c r="C21" s="98"/>
      <c r="D21" s="99"/>
      <c r="E21" s="90"/>
      <c r="F21" s="139"/>
    </row>
    <row r="22" spans="2:6">
      <c r="B22" s="82" t="str">
        <f t="shared" si="0"/>
        <v/>
      </c>
      <c r="C22" s="98"/>
      <c r="D22" s="99"/>
      <c r="E22" s="90"/>
      <c r="F22" s="139"/>
    </row>
    <row r="23" spans="2:6">
      <c r="B23" s="82" t="str">
        <f t="shared" si="0"/>
        <v/>
      </c>
      <c r="C23" s="98"/>
      <c r="D23" s="99"/>
      <c r="E23" s="90"/>
      <c r="F23" s="139"/>
    </row>
    <row r="24" spans="2:6">
      <c r="B24" s="82" t="str">
        <f t="shared" si="0"/>
        <v/>
      </c>
      <c r="C24" s="98"/>
      <c r="D24" s="99"/>
      <c r="E24" s="90"/>
      <c r="F24" s="139"/>
    </row>
    <row r="25" spans="2:6">
      <c r="B25" s="82" t="str">
        <f t="shared" si="0"/>
        <v/>
      </c>
      <c r="C25" s="98"/>
      <c r="D25" s="99"/>
      <c r="E25" s="90"/>
      <c r="F25" s="139"/>
    </row>
    <row r="26" spans="2:6">
      <c r="B26" s="76"/>
      <c r="C26" s="56"/>
      <c r="D26" s="57"/>
      <c r="E26" s="116"/>
    </row>
    <row r="27" spans="2:6">
      <c r="B27" s="76" t="str">
        <f t="shared" si="0"/>
        <v/>
      </c>
      <c r="C27" s="56"/>
      <c r="D27" s="57"/>
      <c r="E27" s="116"/>
    </row>
    <row r="28" spans="2:6">
      <c r="B28" s="76" t="str">
        <f t="shared" si="0"/>
        <v/>
      </c>
      <c r="C28" s="56"/>
      <c r="D28" s="57"/>
      <c r="E28" s="116"/>
    </row>
    <row r="29" spans="2:6">
      <c r="B29" s="76" t="str">
        <f t="shared" si="0"/>
        <v/>
      </c>
      <c r="C29" s="56"/>
      <c r="D29" s="57"/>
      <c r="E29" s="116"/>
    </row>
    <row r="30" spans="2:6">
      <c r="B30" s="76" t="str">
        <f t="shared" si="0"/>
        <v/>
      </c>
      <c r="C30" s="56"/>
      <c r="D30" s="57"/>
      <c r="E30" s="116"/>
    </row>
    <row r="31" spans="2:6">
      <c r="B31" s="76" t="str">
        <f t="shared" si="0"/>
        <v/>
      </c>
      <c r="C31" s="56"/>
      <c r="D31" s="57"/>
      <c r="E31" s="116"/>
    </row>
    <row r="32" spans="2:6">
      <c r="B32" s="76" t="str">
        <f t="shared" si="0"/>
        <v/>
      </c>
      <c r="C32" s="56"/>
      <c r="D32" s="57"/>
      <c r="E32" s="116"/>
    </row>
    <row r="33" spans="2:5">
      <c r="B33" s="76" t="str">
        <f t="shared" si="0"/>
        <v/>
      </c>
      <c r="C33" s="56"/>
      <c r="D33" s="57"/>
      <c r="E33" s="116"/>
    </row>
    <row r="34" spans="2:5">
      <c r="B34" s="76" t="str">
        <f t="shared" si="0"/>
        <v/>
      </c>
      <c r="C34" s="56"/>
      <c r="D34" s="57"/>
      <c r="E34" s="116"/>
    </row>
    <row r="35" spans="2:5">
      <c r="B35" s="76" t="str">
        <f t="shared" si="0"/>
        <v/>
      </c>
      <c r="C35" s="56"/>
      <c r="D35" s="57"/>
      <c r="E35" s="116"/>
    </row>
    <row r="36" spans="2:5">
      <c r="B36" s="76" t="str">
        <f t="shared" si="0"/>
        <v/>
      </c>
      <c r="C36" s="56"/>
      <c r="D36" s="57"/>
      <c r="E36" s="116"/>
    </row>
    <row r="37" spans="2:5">
      <c r="B37" s="76" t="str">
        <f t="shared" si="0"/>
        <v/>
      </c>
      <c r="C37" s="56"/>
      <c r="D37" s="57"/>
      <c r="E37" s="116"/>
    </row>
    <row r="38" spans="2:5">
      <c r="B38" s="76" t="str">
        <f t="shared" si="0"/>
        <v/>
      </c>
      <c r="C38" s="56"/>
      <c r="D38" s="57"/>
      <c r="E38" s="116"/>
    </row>
    <row r="39" spans="2:5">
      <c r="B39" s="76" t="str">
        <f t="shared" si="0"/>
        <v/>
      </c>
      <c r="C39" s="56"/>
      <c r="D39" s="57"/>
      <c r="E39" s="116"/>
    </row>
    <row r="40" spans="2:5">
      <c r="B40" s="76" t="str">
        <f t="shared" si="0"/>
        <v/>
      </c>
      <c r="C40" s="56"/>
      <c r="D40" s="57"/>
      <c r="E40" s="116"/>
    </row>
    <row r="41" spans="2:5">
      <c r="B41" s="76" t="str">
        <f t="shared" si="0"/>
        <v/>
      </c>
      <c r="C41" s="56"/>
      <c r="D41" s="57"/>
      <c r="E41" s="116"/>
    </row>
    <row r="42" spans="2:5">
      <c r="B42" s="76" t="str">
        <f t="shared" si="0"/>
        <v/>
      </c>
      <c r="C42" s="56"/>
      <c r="D42" s="57"/>
      <c r="E42" s="116"/>
    </row>
    <row r="43" spans="2:5">
      <c r="B43" s="76" t="str">
        <f t="shared" si="0"/>
        <v/>
      </c>
      <c r="C43" s="56"/>
      <c r="D43" s="57"/>
      <c r="E43" s="116"/>
    </row>
    <row r="44" spans="2:5">
      <c r="B44" s="76" t="str">
        <f t="shared" si="0"/>
        <v/>
      </c>
      <c r="C44" s="56"/>
      <c r="D44" s="57"/>
      <c r="E44" s="116"/>
    </row>
    <row r="45" spans="2:5">
      <c r="B45" s="76" t="str">
        <f t="shared" si="0"/>
        <v/>
      </c>
      <c r="C45" s="56"/>
      <c r="D45" s="57"/>
      <c r="E45" s="116"/>
    </row>
    <row r="46" spans="2:5">
      <c r="B46" s="76" t="str">
        <f t="shared" si="0"/>
        <v/>
      </c>
      <c r="C46" s="56"/>
      <c r="D46" s="57"/>
      <c r="E46" s="116"/>
    </row>
    <row r="47" spans="2:5">
      <c r="B47" s="76" t="str">
        <f t="shared" si="0"/>
        <v/>
      </c>
      <c r="C47" s="56"/>
      <c r="D47" s="57"/>
      <c r="E47" s="116"/>
    </row>
    <row r="48" spans="2:5" ht="15.75" customHeight="1">
      <c r="B48" s="77"/>
      <c r="C48" s="59"/>
      <c r="D48" s="123"/>
      <c r="E48" s="116"/>
    </row>
    <row r="49" spans="2:9" ht="15.75" customHeight="1">
      <c r="B49" s="165" t="s">
        <v>132</v>
      </c>
      <c r="C49" s="166"/>
      <c r="D49" s="60">
        <f>SUM(D12:D48)</f>
        <v>17</v>
      </c>
      <c r="E49" s="61"/>
    </row>
    <row r="50" spans="2:9">
      <c r="C50" s="62"/>
      <c r="D50" s="61"/>
      <c r="E50" s="61"/>
    </row>
    <row r="51" spans="2:9" ht="15.75">
      <c r="B51" s="78"/>
      <c r="C51" s="64"/>
      <c r="D51" s="65"/>
      <c r="E51" s="65"/>
      <c r="F51" s="66"/>
    </row>
    <row r="52" spans="2:9" ht="13.5" customHeight="1"/>
    <row r="53" spans="2:9" ht="30" customHeight="1">
      <c r="B53" s="67" t="s">
        <v>133</v>
      </c>
      <c r="C53" s="68"/>
      <c r="D53" s="67" t="s">
        <v>134</v>
      </c>
      <c r="E53" s="142"/>
      <c r="F53" s="141"/>
      <c r="G53" s="160"/>
      <c r="H53" s="160"/>
      <c r="I53" s="160"/>
    </row>
    <row r="54" spans="2:9" ht="35.25" customHeight="1">
      <c r="B54" s="67" t="s">
        <v>135</v>
      </c>
      <c r="C54" s="68"/>
      <c r="D54" s="67" t="s">
        <v>135</v>
      </c>
      <c r="E54" s="142"/>
      <c r="F54" s="141"/>
      <c r="G54" s="160"/>
      <c r="H54" s="160"/>
      <c r="I54" s="160"/>
    </row>
  </sheetData>
  <mergeCells count="7">
    <mergeCell ref="B10:E10"/>
    <mergeCell ref="B49:C49"/>
    <mergeCell ref="G53:I53"/>
    <mergeCell ref="G54:I54"/>
    <mergeCell ref="C1:D1"/>
    <mergeCell ref="C2:D2"/>
    <mergeCell ref="C6:D6"/>
  </mergeCells>
  <conditionalFormatting sqref="B12:B48">
    <cfRule type="containsText" dxfId="3" priority="1" operator="containsText" text="S">
      <formula>NOT(ISERROR(SEARCH("S",B12)))</formula>
    </cfRule>
    <cfRule type="containsText" dxfId="2" priority="2" operator="containsText" text="&quot;Sat&quot;">
      <formula>NOT(ISERROR(SEARCH("""Sat""",B12)))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4666F-083E-450B-95D9-EAB9F2EA1838}">
  <dimension ref="B1:I55"/>
  <sheetViews>
    <sheetView workbookViewId="0">
      <selection activeCell="E5" sqref="E5"/>
    </sheetView>
  </sheetViews>
  <sheetFormatPr defaultRowHeight="15"/>
  <cols>
    <col min="1" max="1" width="7" customWidth="1"/>
    <col min="2" max="2" width="25" style="61" bestFit="1" customWidth="1"/>
    <col min="3" max="3" width="27.140625" customWidth="1"/>
    <col min="4" max="4" width="29.140625" customWidth="1"/>
    <col min="5" max="5" width="62" customWidth="1"/>
    <col min="6" max="6" width="95.5703125" bestFit="1" customWidth="1"/>
  </cols>
  <sheetData>
    <row r="1" spans="2:6">
      <c r="B1" s="73" t="s">
        <v>85</v>
      </c>
      <c r="C1" s="161">
        <v>2025</v>
      </c>
      <c r="D1" s="161"/>
    </row>
    <row r="2" spans="2:6">
      <c r="B2" s="73" t="s">
        <v>86</v>
      </c>
      <c r="C2" s="161" t="s">
        <v>87</v>
      </c>
      <c r="D2" s="161"/>
    </row>
    <row r="3" spans="2:6">
      <c r="B3" s="74" t="s">
        <v>88</v>
      </c>
      <c r="C3" s="137" t="s">
        <v>89</v>
      </c>
      <c r="D3" s="137"/>
      <c r="E3" s="54" t="s">
        <v>90</v>
      </c>
    </row>
    <row r="4" spans="2:6">
      <c r="B4" s="135" t="s">
        <v>91</v>
      </c>
      <c r="C4" s="134" t="s">
        <v>92</v>
      </c>
      <c r="D4" s="134"/>
      <c r="E4" s="54" t="s">
        <v>90</v>
      </c>
    </row>
    <row r="5" spans="2:6">
      <c r="B5" s="136" t="s">
        <v>93</v>
      </c>
      <c r="C5" s="116"/>
      <c r="D5" s="116"/>
      <c r="E5" s="54" t="s">
        <v>90</v>
      </c>
    </row>
    <row r="6" spans="2:6">
      <c r="B6" s="105" t="s">
        <v>94</v>
      </c>
      <c r="C6" s="162"/>
      <c r="D6" s="162"/>
    </row>
    <row r="7" spans="2:6">
      <c r="B7" s="105" t="s">
        <v>95</v>
      </c>
      <c r="C7" s="134"/>
      <c r="D7" s="134"/>
    </row>
    <row r="8" spans="2:6">
      <c r="B8" s="73" t="s">
        <v>96</v>
      </c>
      <c r="C8" s="138" t="s">
        <v>97</v>
      </c>
      <c r="D8" s="138"/>
    </row>
    <row r="9" spans="2:6">
      <c r="B9" s="73" t="s">
        <v>98</v>
      </c>
      <c r="C9" s="73"/>
      <c r="D9" s="73"/>
    </row>
    <row r="10" spans="2:6">
      <c r="B10" s="163"/>
      <c r="C10" s="163"/>
      <c r="D10" s="163"/>
      <c r="E10" s="164"/>
    </row>
    <row r="11" spans="2:6">
      <c r="B11" s="81" t="s">
        <v>99</v>
      </c>
      <c r="C11" s="81" t="s">
        <v>100</v>
      </c>
      <c r="D11" s="106" t="s">
        <v>101</v>
      </c>
      <c r="E11" s="140" t="s">
        <v>102</v>
      </c>
      <c r="F11" s="126"/>
    </row>
    <row r="12" spans="2:6" ht="30.75">
      <c r="B12" s="82">
        <v>45792</v>
      </c>
      <c r="C12" s="98">
        <v>45792</v>
      </c>
      <c r="D12" s="100">
        <v>4</v>
      </c>
      <c r="E12" s="92" t="s">
        <v>116</v>
      </c>
      <c r="F12" s="110"/>
    </row>
    <row r="13" spans="2:6" ht="30.75">
      <c r="B13" s="82">
        <v>45793</v>
      </c>
      <c r="C13" s="98">
        <v>45793</v>
      </c>
      <c r="D13" s="100">
        <v>5</v>
      </c>
      <c r="E13" s="92" t="s">
        <v>116</v>
      </c>
      <c r="F13" s="110"/>
    </row>
    <row r="14" spans="2:6" ht="30.75">
      <c r="B14" s="82">
        <v>45796</v>
      </c>
      <c r="C14" s="98">
        <v>45796</v>
      </c>
      <c r="D14" s="100">
        <v>4</v>
      </c>
      <c r="E14" s="92" t="s">
        <v>143</v>
      </c>
      <c r="F14" s="110"/>
    </row>
    <row r="15" spans="2:6" ht="30.75">
      <c r="B15" s="82">
        <v>45797</v>
      </c>
      <c r="C15" s="98">
        <v>45797</v>
      </c>
      <c r="D15" s="100">
        <v>4</v>
      </c>
      <c r="E15" s="92" t="s">
        <v>143</v>
      </c>
      <c r="F15" s="110"/>
    </row>
    <row r="16" spans="2:6" ht="30.75">
      <c r="B16" s="82" t="str">
        <f>IF(C16="","",TEXT(C16,"ddd"))</f>
        <v>Wed</v>
      </c>
      <c r="C16" s="98">
        <v>45798</v>
      </c>
      <c r="D16" s="100">
        <v>5</v>
      </c>
      <c r="E16" s="92" t="s">
        <v>144</v>
      </c>
      <c r="F16" s="110"/>
    </row>
    <row r="17" spans="2:6" ht="30.75">
      <c r="B17" s="82" t="str">
        <f t="shared" ref="B16:B52" si="0">IF(C17="","",TEXT(C17,"ddd"))</f>
        <v>Mon</v>
      </c>
      <c r="C17" s="98">
        <v>45810</v>
      </c>
      <c r="D17" s="100">
        <v>2</v>
      </c>
      <c r="E17" s="92" t="s">
        <v>122</v>
      </c>
      <c r="F17" s="110"/>
    </row>
    <row r="18" spans="2:6" ht="30.75">
      <c r="B18" s="82" t="str">
        <f t="shared" si="0"/>
        <v>Tue</v>
      </c>
      <c r="C18" s="98">
        <v>45811</v>
      </c>
      <c r="D18" s="100">
        <v>4</v>
      </c>
      <c r="E18" s="92" t="s">
        <v>122</v>
      </c>
      <c r="F18" s="110"/>
    </row>
    <row r="19" spans="2:6" ht="30.75">
      <c r="B19" s="82">
        <v>45811</v>
      </c>
      <c r="C19" s="98">
        <v>45811</v>
      </c>
      <c r="D19" s="100">
        <v>3</v>
      </c>
      <c r="E19" s="92" t="s">
        <v>116</v>
      </c>
      <c r="F19" s="110"/>
    </row>
    <row r="20" spans="2:6" ht="30.75">
      <c r="B20" s="82" t="str">
        <f t="shared" si="0"/>
        <v>Wed</v>
      </c>
      <c r="C20" s="98">
        <v>45812</v>
      </c>
      <c r="D20" s="100">
        <v>2</v>
      </c>
      <c r="E20" s="92" t="s">
        <v>116</v>
      </c>
      <c r="F20" s="110"/>
    </row>
    <row r="21" spans="2:6" ht="30.75">
      <c r="B21" s="82" t="str">
        <f t="shared" si="0"/>
        <v>Wed</v>
      </c>
      <c r="C21" s="98">
        <v>45819</v>
      </c>
      <c r="D21" s="100">
        <v>3</v>
      </c>
      <c r="E21" s="92" t="s">
        <v>116</v>
      </c>
      <c r="F21" s="110"/>
    </row>
    <row r="22" spans="2:6">
      <c r="B22" s="82" t="str">
        <f t="shared" si="0"/>
        <v/>
      </c>
      <c r="C22" s="98"/>
      <c r="D22" s="99"/>
      <c r="E22" s="90"/>
      <c r="F22" s="139"/>
    </row>
    <row r="23" spans="2:6">
      <c r="B23" s="82" t="str">
        <f t="shared" si="0"/>
        <v/>
      </c>
      <c r="C23" s="98"/>
      <c r="D23" s="99"/>
      <c r="E23" s="90"/>
      <c r="F23" s="139"/>
    </row>
    <row r="24" spans="2:6">
      <c r="B24" s="82" t="str">
        <f t="shared" si="0"/>
        <v/>
      </c>
      <c r="C24" s="98"/>
      <c r="D24" s="99"/>
      <c r="E24" s="90"/>
      <c r="F24" s="139"/>
    </row>
    <row r="25" spans="2:6">
      <c r="B25" s="82" t="str">
        <f t="shared" si="0"/>
        <v/>
      </c>
      <c r="C25" s="98"/>
      <c r="D25" s="99"/>
      <c r="E25" s="90"/>
      <c r="F25" s="139"/>
    </row>
    <row r="26" spans="2:6">
      <c r="B26" s="82" t="str">
        <f t="shared" si="0"/>
        <v/>
      </c>
      <c r="C26" s="98"/>
      <c r="D26" s="99"/>
      <c r="E26" s="90"/>
      <c r="F26" s="139"/>
    </row>
    <row r="27" spans="2:6">
      <c r="B27" s="76"/>
      <c r="C27" s="56"/>
      <c r="D27" s="57"/>
      <c r="E27" s="116"/>
    </row>
    <row r="28" spans="2:6">
      <c r="B28" s="76" t="str">
        <f t="shared" si="0"/>
        <v/>
      </c>
      <c r="C28" s="56"/>
      <c r="D28" s="57"/>
      <c r="E28" s="116"/>
    </row>
    <row r="29" spans="2:6">
      <c r="B29" s="76" t="str">
        <f t="shared" si="0"/>
        <v/>
      </c>
      <c r="C29" s="56"/>
      <c r="D29" s="57"/>
      <c r="E29" s="116"/>
    </row>
    <row r="30" spans="2:6">
      <c r="B30" s="76" t="str">
        <f t="shared" si="0"/>
        <v/>
      </c>
      <c r="C30" s="56"/>
      <c r="D30" s="57"/>
      <c r="E30" s="116"/>
    </row>
    <row r="31" spans="2:6">
      <c r="B31" s="76" t="str">
        <f t="shared" si="0"/>
        <v/>
      </c>
      <c r="C31" s="56"/>
      <c r="D31" s="57"/>
      <c r="E31" s="116"/>
    </row>
    <row r="32" spans="2:6">
      <c r="B32" s="76" t="str">
        <f t="shared" si="0"/>
        <v/>
      </c>
      <c r="C32" s="56"/>
      <c r="D32" s="57"/>
      <c r="E32" s="116"/>
    </row>
    <row r="33" spans="2:5">
      <c r="B33" s="76" t="str">
        <f t="shared" si="0"/>
        <v/>
      </c>
      <c r="C33" s="56"/>
      <c r="D33" s="57"/>
      <c r="E33" s="116"/>
    </row>
    <row r="34" spans="2:5">
      <c r="B34" s="76" t="str">
        <f t="shared" si="0"/>
        <v/>
      </c>
      <c r="C34" s="56"/>
      <c r="D34" s="57"/>
      <c r="E34" s="116"/>
    </row>
    <row r="35" spans="2:5">
      <c r="B35" s="76" t="str">
        <f t="shared" si="0"/>
        <v/>
      </c>
      <c r="C35" s="56"/>
      <c r="D35" s="57"/>
      <c r="E35" s="116"/>
    </row>
    <row r="36" spans="2:5">
      <c r="B36" s="76" t="str">
        <f t="shared" si="0"/>
        <v/>
      </c>
      <c r="C36" s="56"/>
      <c r="D36" s="57"/>
      <c r="E36" s="116"/>
    </row>
    <row r="37" spans="2:5">
      <c r="B37" s="76" t="str">
        <f t="shared" si="0"/>
        <v/>
      </c>
      <c r="C37" s="56"/>
      <c r="D37" s="57"/>
      <c r="E37" s="116"/>
    </row>
    <row r="38" spans="2:5">
      <c r="B38" s="76" t="str">
        <f t="shared" si="0"/>
        <v/>
      </c>
      <c r="C38" s="56"/>
      <c r="D38" s="57"/>
      <c r="E38" s="116"/>
    </row>
    <row r="39" spans="2:5">
      <c r="B39" s="76" t="str">
        <f t="shared" si="0"/>
        <v/>
      </c>
      <c r="C39" s="56"/>
      <c r="D39" s="57"/>
      <c r="E39" s="116"/>
    </row>
    <row r="40" spans="2:5">
      <c r="B40" s="76" t="str">
        <f t="shared" si="0"/>
        <v/>
      </c>
      <c r="C40" s="56"/>
      <c r="D40" s="57"/>
      <c r="E40" s="116"/>
    </row>
    <row r="41" spans="2:5">
      <c r="B41" s="76" t="str">
        <f t="shared" si="0"/>
        <v/>
      </c>
      <c r="C41" s="56"/>
      <c r="D41" s="57"/>
      <c r="E41" s="116"/>
    </row>
    <row r="42" spans="2:5">
      <c r="B42" s="76" t="str">
        <f t="shared" si="0"/>
        <v/>
      </c>
      <c r="C42" s="56"/>
      <c r="D42" s="57"/>
      <c r="E42" s="116"/>
    </row>
    <row r="43" spans="2:5">
      <c r="B43" s="76" t="str">
        <f t="shared" si="0"/>
        <v/>
      </c>
      <c r="C43" s="56"/>
      <c r="D43" s="57"/>
      <c r="E43" s="116"/>
    </row>
    <row r="44" spans="2:5">
      <c r="B44" s="76" t="str">
        <f t="shared" si="0"/>
        <v/>
      </c>
      <c r="C44" s="56"/>
      <c r="D44" s="57"/>
      <c r="E44" s="116"/>
    </row>
    <row r="45" spans="2:5">
      <c r="B45" s="76" t="str">
        <f t="shared" si="0"/>
        <v/>
      </c>
      <c r="C45" s="56"/>
      <c r="D45" s="57"/>
      <c r="E45" s="116"/>
    </row>
    <row r="46" spans="2:5">
      <c r="B46" s="76" t="str">
        <f t="shared" si="0"/>
        <v/>
      </c>
      <c r="C46" s="56"/>
      <c r="D46" s="57"/>
      <c r="E46" s="116"/>
    </row>
    <row r="47" spans="2:5">
      <c r="B47" s="76" t="str">
        <f t="shared" si="0"/>
        <v/>
      </c>
      <c r="C47" s="56"/>
      <c r="D47" s="57"/>
      <c r="E47" s="116"/>
    </row>
    <row r="48" spans="2:5">
      <c r="B48" s="76" t="str">
        <f t="shared" si="0"/>
        <v/>
      </c>
      <c r="C48" s="56"/>
      <c r="D48" s="57"/>
      <c r="E48" s="116"/>
    </row>
    <row r="49" spans="2:9">
      <c r="B49" s="77"/>
      <c r="C49" s="59"/>
      <c r="D49" s="123"/>
      <c r="E49" s="116"/>
    </row>
    <row r="50" spans="2:9">
      <c r="B50" s="165" t="s">
        <v>132</v>
      </c>
      <c r="C50" s="166"/>
      <c r="D50" s="60">
        <f>SUM(D12:D49)</f>
        <v>36</v>
      </c>
      <c r="E50" s="61"/>
    </row>
    <row r="51" spans="2:9">
      <c r="C51" s="62"/>
      <c r="D51" s="61"/>
      <c r="E51" s="61"/>
    </row>
    <row r="52" spans="2:9" ht="15.75">
      <c r="B52" s="78"/>
      <c r="C52" s="64"/>
      <c r="D52" s="65"/>
      <c r="E52" s="65"/>
      <c r="F52" s="66"/>
    </row>
    <row r="54" spans="2:9">
      <c r="B54" s="67" t="s">
        <v>133</v>
      </c>
      <c r="C54" s="68"/>
      <c r="D54" s="142" t="s">
        <v>134</v>
      </c>
      <c r="E54" s="143"/>
      <c r="F54" s="141"/>
      <c r="G54" s="160"/>
      <c r="H54" s="160"/>
      <c r="I54" s="160"/>
    </row>
    <row r="55" spans="2:9">
      <c r="B55" s="67" t="s">
        <v>135</v>
      </c>
      <c r="C55" s="68"/>
      <c r="D55" s="142" t="s">
        <v>135</v>
      </c>
      <c r="E55" s="143"/>
      <c r="F55" s="141"/>
      <c r="G55" s="160"/>
      <c r="H55" s="160"/>
      <c r="I55" s="160"/>
    </row>
  </sheetData>
  <mergeCells count="7">
    <mergeCell ref="G54:I54"/>
    <mergeCell ref="G55:I55"/>
    <mergeCell ref="C1:D1"/>
    <mergeCell ref="C2:D2"/>
    <mergeCell ref="C6:D6"/>
    <mergeCell ref="B10:E10"/>
    <mergeCell ref="B50:C50"/>
  </mergeCells>
  <conditionalFormatting sqref="B12:B49">
    <cfRule type="containsText" dxfId="1" priority="1" operator="containsText" text="S">
      <formula>NOT(ISERROR(SEARCH("S",B12)))</formula>
    </cfRule>
    <cfRule type="containsText" dxfId="0" priority="2" operator="containsText" text="&quot;Sat&quot;">
      <formula>NOT(ISERROR(SEARCH("""Sat""",B12)))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ni_default_created_by xmlns="1a3e8857-dc64-4ebc-a792-285a74b64f01">System Account</ini_default_created_by>
    <Intapp_From xmlns="1a3e8857-dc64-4ebc-a792-285a74b64f01" xsi:nil="true"/>
    <Intapp_DateReceived xmlns="1a3e8857-dc64-4ebc-a792-285a74b64f01" xsi:nil="true"/>
    <case_id xmlns="1a3e8857-dc64-4ebc-a792-285a74b64f01">130130548</case_id>
    <meridio_created_by xmlns="1a3e8857-dc64-4ebc-a792-285a74b64f01">nigel.carr</meridio_created_by>
    <customer_id xmlns="1a3e8857-dc64-4ebc-a792-285a74b64f01">925</customer_id>
    <meridio_title xmlns="1a3e8857-dc64-4ebc-a792-285a74b64f01">BT Research Work Plan - Year 3 Agreed 090320.xlsx</meridio_title>
    <meridio_modified_by xmlns="1a3e8857-dc64-4ebc-a792-285a74b64f01">nigel.carr</meridio_modified_by>
    <meridio_id xmlns="1a3e8857-dc64-4ebc-a792-285a74b64f01">20848121</meridio_id>
    <meridio_author xmlns="1a3e8857-dc64-4ebc-a792-285a74b64f01" xsi:nil="true"/>
    <contract_id xmlns="1a3e8857-dc64-4ebc-a792-285a74b64f01" xsi:nil="true"/>
    <meridio_document_date xmlns="1a3e8857-dc64-4ebc-a792-285a74b64f01" xsi:nil="true"/>
    <Intapp_CC xmlns="1a3e8857-dc64-4ebc-a792-285a74b64f01" xsi:nil="true"/>
    <asset_id xmlns="1a3e8857-dc64-4ebc-a792-285a74b64f01" xsi:nil="true"/>
    <Intapp_ConversationID xmlns="1a3e8857-dc64-4ebc-a792-285a74b64f01" xsi:nil="true"/>
    <Intapp_DateSent xmlns="1a3e8857-dc64-4ebc-a792-285a74b64f01" xsi:nil="true"/>
    <Intapp_BCC xmlns="1a3e8857-dc64-4ebc-a792-285a74b64f01" xsi:nil="true"/>
    <Intapp_ConversationTopic xmlns="1a3e8857-dc64-4ebc-a792-285a74b64f01" xsi:nil="true"/>
    <meridio_declared_by xmlns="1a3e8857-dc64-4ebc-a792-285a74b64f01" xsi:nil="true"/>
    <employee_id xmlns="1a3e8857-dc64-4ebc-a792-285a74b64f01" xsi:nil="true"/>
    <programme_id xmlns="1a3e8857-dc64-4ebc-a792-285a74b64f01" xsi:nil="true"/>
    <meridio_declared_record xmlns="1a3e8857-dc64-4ebc-a792-285a74b64f01" xsi:nil="true"/>
    <meridio_version_id xmlns="1a3e8857-dc64-4ebc-a792-285a74b64f01" xsi:nil="true"/>
    <Intapp_To xmlns="1a3e8857-dc64-4ebc-a792-285a74b64f01" xsi:nil="true"/>
    <Intapp_ConversationIndex xmlns="1a3e8857-dc64-4ebc-a792-285a74b64f01" xsi:nil="true"/>
    <Fingerprint xmlns="1a3e8857-dc64-4ebc-a792-285a74b64f01" xsi:nil="true"/>
    <InternetMessageId xmlns="1a3e8857-dc64-4ebc-a792-285a74b64f01" xsi:nil="true"/>
    <Intapp_Subject xmlns="1a3e8857-dc64-4ebc-a792-285a74b64f01" xsi:nil="true"/>
    <Intapp_HasAttachments xmlns="1a3e8857-dc64-4ebc-a792-285a74b64f01" xsi:nil="true"/>
    <_dlc_DocId xmlns="1507cf97-c393-42b3-8408-801c783e8103">VR373D232KX7-1203843500-1456</_dlc_DocId>
    <_dlc_DocIdUrl xmlns="1507cf97-c393-42b3-8408-801c783e8103">
      <Url>https://investni.sharepoint.com/sites/925/_layouts/15/DocIdRedir.aspx?ID=VR373D232KX7-1203843500-1456</Url>
      <Description>VR373D232KX7-1203843500-1456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Migrated Meridio Document" ma:contentTypeID="0x0101004218B58CA1AF4E40BA9C12CDBAC4D891005D06494168B29C429D9B6C69F52EA96C" ma:contentTypeVersion="7" ma:contentTypeDescription="Documents that have been migrated from Meridio" ma:contentTypeScope="" ma:versionID="c578875e811d784092af17124e32d31f">
  <xsd:schema xmlns:xsd="http://www.w3.org/2001/XMLSchema" xmlns:xs="http://www.w3.org/2001/XMLSchema" xmlns:p="http://schemas.microsoft.com/office/2006/metadata/properties" xmlns:ns2="1a3e8857-dc64-4ebc-a792-285a74b64f01" xmlns:ns3="1507cf97-c393-42b3-8408-801c783e8103" targetNamespace="http://schemas.microsoft.com/office/2006/metadata/properties" ma:root="true" ma:fieldsID="01930cd256684b632445b62eaa99cc2e" ns2:_="" ns3:_="">
    <xsd:import namespace="1a3e8857-dc64-4ebc-a792-285a74b64f01"/>
    <xsd:import namespace="1507cf97-c393-42b3-8408-801c783e8103"/>
    <xsd:element name="properties">
      <xsd:complexType>
        <xsd:sequence>
          <xsd:element name="documentManagement">
            <xsd:complexType>
              <xsd:all>
                <xsd:element ref="ns2:meridio_modified_by" minOccurs="0"/>
                <xsd:element ref="ns2:meridio_id" minOccurs="0"/>
                <xsd:element ref="ns2:meridio_declared_record" minOccurs="0"/>
                <xsd:element ref="ns2:meridio_author" minOccurs="0"/>
                <xsd:element ref="ns2:Intapp_To" minOccurs="0"/>
                <xsd:element ref="ns2:asset_id" minOccurs="0"/>
                <xsd:element ref="ns2:Intapp_BCC" minOccurs="0"/>
                <xsd:element ref="ns2:case_id" minOccurs="0"/>
                <xsd:element ref="ns2:Intapp_CC" minOccurs="0"/>
                <xsd:element ref="ns2:contract_id" minOccurs="0"/>
                <xsd:element ref="ns2:Intapp_ConversationID" minOccurs="0"/>
                <xsd:element ref="ns2:Intapp_ConversationIndex" minOccurs="0"/>
                <xsd:element ref="ns2:Intapp_ConversationTopic" minOccurs="0"/>
                <xsd:element ref="ns2:customer_id" minOccurs="0"/>
                <xsd:element ref="ns2:Intapp_DateReceived" minOccurs="0"/>
                <xsd:element ref="ns2:Intapp_DateSent" minOccurs="0"/>
                <xsd:element ref="ns2:employee_id" minOccurs="0"/>
                <xsd:element ref="ns2:Fingerprint" minOccurs="0"/>
                <xsd:element ref="ns2:Intapp_From" minOccurs="0"/>
                <xsd:element ref="ns2:Intapp_HasAttachments" minOccurs="0"/>
                <xsd:element ref="ns2:InternetMessageId" minOccurs="0"/>
                <xsd:element ref="ns2:programme_id" minOccurs="0"/>
                <xsd:element ref="ns2:Intapp_Subject" minOccurs="0"/>
                <xsd:element ref="ns2:meridio_declared_by" minOccurs="0"/>
                <xsd:element ref="ns2:meridio_title" minOccurs="0"/>
                <xsd:element ref="ns2:meridio_created_by" minOccurs="0"/>
                <xsd:element ref="ns2:meridio_version_id" minOccurs="0"/>
                <xsd:element ref="ns2:meridio_document_date" minOccurs="0"/>
                <xsd:element ref="ns2:ini_default_created_by"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3e8857-dc64-4ebc-a792-285a74b64f01" elementFormDefault="qualified">
    <xsd:import namespace="http://schemas.microsoft.com/office/2006/documentManagement/types"/>
    <xsd:import namespace="http://schemas.microsoft.com/office/infopath/2007/PartnerControls"/>
    <xsd:element name="meridio_modified_by" ma:index="8" nillable="true" ma:displayName="Meridio Modified By" ma:internalName="meridio_modified_by" ma:readOnly="true">
      <xsd:simpleType>
        <xsd:restriction base="dms:Text"/>
      </xsd:simpleType>
    </xsd:element>
    <xsd:element name="meridio_id" ma:index="9" nillable="true" ma:displayName="Meridio ID" ma:internalName="meridio_id" ma:readOnly="true">
      <xsd:simpleType>
        <xsd:restriction base="dms:Text"/>
      </xsd:simpleType>
    </xsd:element>
    <xsd:element name="meridio_declared_record" ma:index="10" nillable="true" ma:displayName="Meridio Date Declared Record" ma:internalName="meridio_declared_record" ma:readOnly="true">
      <xsd:simpleType>
        <xsd:restriction base="dms:DateTime"/>
      </xsd:simpleType>
    </xsd:element>
    <xsd:element name="meridio_author" ma:index="11" nillable="true" ma:displayName="Meridio Author" ma:internalName="meridio_author" ma:readOnly="true">
      <xsd:simpleType>
        <xsd:restriction base="dms:Text"/>
      </xsd:simpleType>
    </xsd:element>
    <xsd:element name="Intapp_To" ma:index="12" nillable="true" ma:displayName="To" ma:internalName="Intapp_To">
      <xsd:simpleType>
        <xsd:restriction base="dms:Note">
          <xsd:maxLength value="255"/>
        </xsd:restriction>
      </xsd:simpleType>
    </xsd:element>
    <xsd:element name="asset_id" ma:index="13" nillable="true" ma:displayName="Asset ID" ma:internalName="asset_id">
      <xsd:simpleType>
        <xsd:restriction base="dms:Text"/>
      </xsd:simpleType>
    </xsd:element>
    <xsd:element name="Intapp_BCC" ma:index="14" nillable="true" ma:displayName="BCC" ma:internalName="Intapp_BCC">
      <xsd:simpleType>
        <xsd:restriction base="dms:Note">
          <xsd:maxLength value="255"/>
        </xsd:restriction>
      </xsd:simpleType>
    </xsd:element>
    <xsd:element name="case_id" ma:index="15" nillable="true" ma:displayName="Case ID" ma:default="130130548" ma:internalName="case_id">
      <xsd:simpleType>
        <xsd:restriction base="dms:Text"/>
      </xsd:simpleType>
    </xsd:element>
    <xsd:element name="Intapp_CC" ma:index="16" nillable="true" ma:displayName="CC" ma:internalName="Intapp_CC">
      <xsd:simpleType>
        <xsd:restriction base="dms:Note">
          <xsd:maxLength value="255"/>
        </xsd:restriction>
      </xsd:simpleType>
    </xsd:element>
    <xsd:element name="contract_id" ma:index="17" nillable="true" ma:displayName="Contract ID" ma:internalName="contract_id">
      <xsd:simpleType>
        <xsd:restriction base="dms:Text"/>
      </xsd:simpleType>
    </xsd:element>
    <xsd:element name="Intapp_ConversationID" ma:index="18" nillable="true" ma:displayName="Conversation ID" ma:internalName="Intapp_ConversationID">
      <xsd:simpleType>
        <xsd:restriction base="dms:Text"/>
      </xsd:simpleType>
    </xsd:element>
    <xsd:element name="Intapp_ConversationIndex" ma:index="19" nillable="true" ma:displayName="Conversation Index" ma:internalName="Intapp_ConversationIndex">
      <xsd:simpleType>
        <xsd:restriction base="dms:Note">
          <xsd:maxLength value="255"/>
        </xsd:restriction>
      </xsd:simpleType>
    </xsd:element>
    <xsd:element name="Intapp_ConversationTopic" ma:index="20" nillable="true" ma:displayName="Conversation Topic" ma:internalName="Intapp_ConversationTopic">
      <xsd:simpleType>
        <xsd:restriction base="dms:Text"/>
      </xsd:simpleType>
    </xsd:element>
    <xsd:element name="customer_id" ma:index="21" nillable="true" ma:displayName="Customer ID" ma:internalName="customer_id">
      <xsd:simpleType>
        <xsd:restriction base="dms:Text"/>
      </xsd:simpleType>
    </xsd:element>
    <xsd:element name="Intapp_DateReceived" ma:index="22" nillable="true" ma:displayName="Date Received" ma:format="DateTime" ma:internalName="Intapp_DateReceived">
      <xsd:simpleType>
        <xsd:restriction base="dms:DateTime"/>
      </xsd:simpleType>
    </xsd:element>
    <xsd:element name="Intapp_DateSent" ma:index="23" nillable="true" ma:displayName="Date Sent" ma:internalName="Intapp_DateSent">
      <xsd:simpleType>
        <xsd:restriction base="dms:DateTime"/>
      </xsd:simpleType>
    </xsd:element>
    <xsd:element name="employee_id" ma:index="24" nillable="true" ma:displayName="Employee ID" ma:internalName="employee_id">
      <xsd:simpleType>
        <xsd:restriction base="dms:Text"/>
      </xsd:simpleType>
    </xsd:element>
    <xsd:element name="Fingerprint" ma:index="25" nillable="true" ma:displayName="Fingerprint" ma:internalName="Fingerprint" ma:readOnly="false">
      <xsd:simpleType>
        <xsd:restriction base="dms:Text"/>
      </xsd:simpleType>
    </xsd:element>
    <xsd:element name="Intapp_From" ma:index="26" nillable="true" ma:displayName="From" ma:internalName="Intapp_From">
      <xsd:simpleType>
        <xsd:restriction base="dms:Text">
          <xsd:maxLength value="255"/>
        </xsd:restriction>
      </xsd:simpleType>
    </xsd:element>
    <xsd:element name="Intapp_HasAttachments" ma:index="27" nillable="true" ma:displayName="Has Attachments" ma:internalName="Intapp_HasAttachments">
      <xsd:simpleType>
        <xsd:restriction base="dms:Boolean"/>
      </xsd:simpleType>
    </xsd:element>
    <xsd:element name="InternetMessageId" ma:index="28" nillable="true" ma:displayName="InternetMessageId" ma:internalName="InternetMessageId">
      <xsd:simpleType>
        <xsd:restriction base="dms:Note">
          <xsd:maxLength value="255"/>
        </xsd:restriction>
      </xsd:simpleType>
    </xsd:element>
    <xsd:element name="programme_id" ma:index="29" nillable="true" ma:displayName="Programme ID" ma:internalName="programme_id">
      <xsd:simpleType>
        <xsd:restriction base="dms:Text"/>
      </xsd:simpleType>
    </xsd:element>
    <xsd:element name="Intapp_Subject" ma:index="30" nillable="true" ma:displayName="Subject" ma:internalName="Intapp_Subject">
      <xsd:simpleType>
        <xsd:restriction base="dms:Text"/>
      </xsd:simpleType>
    </xsd:element>
    <xsd:element name="meridio_declared_by" ma:index="31" nillable="true" ma:displayName="Meridio Declared By" ma:internalName="meridio_declared_by" ma:readOnly="true">
      <xsd:simpleType>
        <xsd:restriction base="dms:Text"/>
      </xsd:simpleType>
    </xsd:element>
    <xsd:element name="meridio_title" ma:index="32" nillable="true" ma:displayName="Meridio Title" ma:internalName="meridio_title" ma:readOnly="true">
      <xsd:simpleType>
        <xsd:restriction base="dms:Note">
          <xsd:maxLength value="255"/>
        </xsd:restriction>
      </xsd:simpleType>
    </xsd:element>
    <xsd:element name="meridio_created_by" ma:index="33" nillable="true" ma:displayName="Meridio Created By" ma:internalName="meridio_created_by" ma:readOnly="true">
      <xsd:simpleType>
        <xsd:restriction base="dms:Text"/>
      </xsd:simpleType>
    </xsd:element>
    <xsd:element name="meridio_version_id" ma:index="34" nillable="true" ma:displayName="Meridio Version ID" ma:internalName="meridio_version_id" ma:readOnly="true">
      <xsd:simpleType>
        <xsd:restriction base="dms:Text"/>
      </xsd:simpleType>
    </xsd:element>
    <xsd:element name="meridio_document_date" ma:index="35" nillable="true" ma:displayName="Meridio Document Date" ma:internalName="meridio_document_date" ma:readOnly="true">
      <xsd:simpleType>
        <xsd:restriction base="dms:DateTime"/>
      </xsd:simpleType>
    </xsd:element>
    <xsd:element name="ini_default_created_by" ma:index="37" nillable="true" ma:displayName="Created By User Name" ma:default="ECM User" ma:description="Text field to default to the Created By user, for use in calculated From field" ma:internalName="ini_default_created_by">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07cf97-c393-42b3-8408-801c783e8103" elementFormDefault="qualified">
    <xsd:import namespace="http://schemas.microsoft.com/office/2006/documentManagement/types"/>
    <xsd:import namespace="http://schemas.microsoft.com/office/infopath/2007/PartnerControls"/>
    <xsd:element name="_dlc_DocId" ma:index="39" nillable="true" ma:displayName="Document ID Value" ma:description="The value of the document ID assigned to this item." ma:indexed="true" ma:internalName="_dlc_DocId" ma:readOnly="true">
      <xsd:simpleType>
        <xsd:restriction base="dms:Text"/>
      </xsd:simpleType>
    </xsd:element>
    <xsd:element name="_dlc_DocIdUrl" ma:index="4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e5ff7883-e9ad-47da-b7a9-b64fe1b1d849" ContentTypeId="0x0101004218B58CA1AF4E40BA9C12CDBAC4D891" PreviousValue="false"/>
</file>

<file path=customXml/itemProps1.xml><?xml version="1.0" encoding="utf-8"?>
<ds:datastoreItem xmlns:ds="http://schemas.openxmlformats.org/officeDocument/2006/customXml" ds:itemID="{851887AE-D6A0-4A8E-88C2-91B29BF58D59}"/>
</file>

<file path=customXml/itemProps2.xml><?xml version="1.0" encoding="utf-8"?>
<ds:datastoreItem xmlns:ds="http://schemas.openxmlformats.org/officeDocument/2006/customXml" ds:itemID="{54A6B130-5090-477C-AF37-47EB0AE31268}"/>
</file>

<file path=customXml/itemProps3.xml><?xml version="1.0" encoding="utf-8"?>
<ds:datastoreItem xmlns:ds="http://schemas.openxmlformats.org/officeDocument/2006/customXml" ds:itemID="{71BFD20B-9C64-4A38-8262-B2C2A5B6ECC0}"/>
</file>

<file path=customXml/itemProps4.xml><?xml version="1.0" encoding="utf-8"?>
<ds:datastoreItem xmlns:ds="http://schemas.openxmlformats.org/officeDocument/2006/customXml" ds:itemID="{9032740C-332C-4B31-B364-98AE69011625}"/>
</file>

<file path=customXml/itemProps5.xml><?xml version="1.0" encoding="utf-8"?>
<ds:datastoreItem xmlns:ds="http://schemas.openxmlformats.org/officeDocument/2006/customXml" ds:itemID="{D00CFFA4-F631-4EE4-8A94-F0AD535BCA78}"/>
</file>

<file path=docProps/app.xml><?xml version="1.0" encoding="utf-8"?>
<Properties xmlns="http://schemas.openxmlformats.org/officeDocument/2006/extended-properties" xmlns:vt="http://schemas.openxmlformats.org/officeDocument/2006/docPropsVTypes">
  <Application>Microsoft Excel Online</Application>
  <Manager/>
  <Company>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Neil McGarry</dc:creator>
  <cp:keywords/>
  <dc:description/>
  <cp:lastModifiedBy>Catherine McGuire</cp:lastModifiedBy>
  <cp:revision/>
  <dcterms:created xsi:type="dcterms:W3CDTF">2016-09-22T12:11:07Z</dcterms:created>
  <dcterms:modified xsi:type="dcterms:W3CDTF">2025-11-18T11:42:04Z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0x0101004218B58CA1AF4E40BA9C12CDBAC4D891005D06494168B29C429D9B6C69F52EA96C</vt:lpwstr>
  </property>
  <property fmtid="{D5CDD505-2E9C-101B-9397-08002B2CF9AE}" pid="3" name="Order">
    <vt:r8>2300</vt:r8>
  </property>
  <property fmtid="{D5CDD505-2E9C-101B-9397-08002B2CF9AE}" pid="4" name="_dlc_DocIdItemGuid">
    <vt:lpwstr>7ac67005-2c32-7faf-1af7-2acfefb27fe0</vt:lpwstr>
  </property>
</Properties>
</file>